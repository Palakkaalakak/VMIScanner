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18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richardng/Library/Mobile Documents/com~apple~CloudDocs/Investment &amp; Trading/Piranha Profits/Resources/WA : VMI Resources/"/>
    </mc:Choice>
  </mc:AlternateContent>
  <xr:revisionPtr revIDLastSave="0" documentId="13_ncr:1_{9337581D-63ED-784E-9469-D7F9D47372A0}" xr6:coauthVersionLast="47" xr6:coauthVersionMax="47" xr10:uidLastSave="{00000000-0000-0000-0000-000000000000}"/>
  <bookViews>
    <workbookView xWindow="0" yWindow="780" windowWidth="41120" windowHeight="25800" tabRatio="748" xr2:uid="{00000000-000D-0000-FFFF-FFFF00000000}"/>
  </bookViews>
  <sheets>
    <sheet name="VMI IV Calculator (20 years)" sheetId="24" r:id="rId1"/>
    <sheet name="Discounted Earnings Per Share" sheetId="2" state="veryHidden" r:id="rId2"/>
    <sheet name="Discounted Cash Flow" sheetId="1" state="veryHidden" r:id="rId3"/>
    <sheet name="VMI IV Calculator (Mean PB)" sheetId="31" r:id="rId4"/>
    <sheet name="VMI IV Calculator (PSG)" sheetId="30" r:id="rId5"/>
    <sheet name="VMI Portfolio Dashboard" sheetId="21" r:id="rId6"/>
    <sheet name="VMI Portfolio Manager" sheetId="22" r:id="rId7"/>
    <sheet name="VMI Closed Position" sheetId="27" r:id="rId8"/>
    <sheet name="VMI Portfolio Parameter" sheetId="18" r:id="rId9"/>
    <sheet name="Currency Data" sheetId="29" r:id="rId10"/>
    <sheet name="Discount Rate Data" sheetId="33" r:id="rId11"/>
  </sheets>
  <definedNames>
    <definedName name="_xlnm._FilterDatabase" localSheetId="7" hidden="1">'VMI Closed Position'!$B$7:$AB$30</definedName>
    <definedName name="_xlnm._FilterDatabase" localSheetId="6" hidden="1">'VMI Portfolio Manager'!$B$9:$AJ$31</definedName>
    <definedName name="CIQWBGuid" localSheetId="0" hidden="1">"7c1756cb-7794-4f61-a250-ed9ab8f0743f"</definedName>
    <definedName name="CIQWBGuid" localSheetId="3" hidden="1">"7c1756cb-7794-4f61-a250-ed9ab8f0743f"</definedName>
    <definedName name="CIQWBGuid" localSheetId="4" hidden="1">"7c1756cb-7794-4f61-a250-ed9ab8f0743f"</definedName>
    <definedName name="CIQWBGuid" hidden="1">"WA Investing Tools - June 2020 v1.1.xlsx"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IV Calculator (20 years)'!$B$2:$P$63</definedName>
    <definedName name="_xlnm.Print_Area" localSheetId="3">'VMI IV Calculator (Mean PB)'!$B$2:$P$32</definedName>
    <definedName name="_xlnm.Print_Area" localSheetId="4">'VMI IV Calculator (PSG)'!$B$2:$P$27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5" i="24" l="1"/>
  <c r="L74" i="24"/>
  <c r="L64" i="24" s="1"/>
  <c r="L76" i="24"/>
  <c r="E76" i="24"/>
  <c r="E75" i="24"/>
  <c r="E74" i="24"/>
  <c r="E64" i="24" s="1"/>
  <c r="D36" i="33"/>
  <c r="E26" i="33"/>
  <c r="E27" i="33" s="1"/>
  <c r="E28" i="33" s="1"/>
  <c r="E29" i="33" s="1"/>
  <c r="B26" i="33"/>
  <c r="B27" i="33" s="1"/>
  <c r="B28" i="33" s="1"/>
  <c r="B29" i="33" s="1"/>
  <c r="E12" i="33"/>
  <c r="E13" i="33" s="1"/>
  <c r="E14" i="33" s="1"/>
  <c r="E15" i="33" s="1"/>
  <c r="F31" i="33"/>
  <c r="C31" i="33"/>
  <c r="F17" i="33"/>
  <c r="C17" i="33"/>
  <c r="B12" i="33"/>
  <c r="B13" i="33" s="1"/>
  <c r="B14" i="33" s="1"/>
  <c r="B15" i="33" s="1"/>
  <c r="M36" i="31"/>
  <c r="I28" i="31"/>
  <c r="E26" i="31"/>
  <c r="E23" i="31"/>
  <c r="M19" i="31"/>
  <c r="F19" i="31"/>
  <c r="N22" i="31" s="1"/>
  <c r="N16" i="31"/>
  <c r="M16" i="31"/>
  <c r="L16" i="31" s="1"/>
  <c r="K16" i="31" s="1"/>
  <c r="J16" i="31" s="1"/>
  <c r="I16" i="31" s="1"/>
  <c r="H16" i="31" s="1"/>
  <c r="G16" i="31" s="1"/>
  <c r="F16" i="31" s="1"/>
  <c r="N12" i="31"/>
  <c r="L12" i="31"/>
  <c r="F12" i="31"/>
  <c r="F14" i="30"/>
  <c r="M14" i="30"/>
  <c r="N18" i="30"/>
  <c r="N20" i="30" s="1"/>
  <c r="M22" i="30" s="1"/>
  <c r="M20" i="30"/>
  <c r="M18" i="30"/>
  <c r="M31" i="30"/>
  <c r="M25" i="30"/>
  <c r="N12" i="30"/>
  <c r="L12" i="30"/>
  <c r="C54" i="29"/>
  <c r="N26" i="31" l="1"/>
  <c r="N23" i="31"/>
  <c r="F22" i="31"/>
  <c r="H22" i="31"/>
  <c r="J22" i="31"/>
  <c r="L22" i="31"/>
  <c r="J23" i="31" l="1"/>
  <c r="J26" i="31"/>
  <c r="J30" i="31" s="1"/>
  <c r="L26" i="31"/>
  <c r="L23" i="31"/>
  <c r="H23" i="31"/>
  <c r="H26" i="31"/>
  <c r="F23" i="31"/>
  <c r="F26" i="31"/>
  <c r="F33" i="24" l="1"/>
  <c r="G33" i="24" s="1"/>
  <c r="F32" i="24"/>
  <c r="G32" i="24"/>
  <c r="H32" i="24"/>
  <c r="I32" i="24"/>
  <c r="J32" i="24"/>
  <c r="K32" i="24"/>
  <c r="L32" i="24"/>
  <c r="M32" i="24"/>
  <c r="N32" i="24"/>
  <c r="O32" i="24"/>
  <c r="F37" i="24"/>
  <c r="G37" i="24"/>
  <c r="H37" i="24"/>
  <c r="I37" i="24"/>
  <c r="J37" i="24"/>
  <c r="K37" i="24"/>
  <c r="L37" i="24"/>
  <c r="M37" i="24"/>
  <c r="N37" i="24"/>
  <c r="O37" i="24"/>
  <c r="B51" i="18"/>
  <c r="C36" i="27"/>
  <c r="C37" i="22"/>
  <c r="B301" i="21"/>
  <c r="M85" i="24"/>
  <c r="C24" i="24" l="1"/>
  <c r="L12" i="24"/>
  <c r="W115" i="21" l="1"/>
  <c r="X115" i="21"/>
  <c r="R115" i="21"/>
  <c r="S115" i="21"/>
  <c r="M115" i="21"/>
  <c r="N115" i="21"/>
  <c r="H115" i="21"/>
  <c r="I115" i="21"/>
  <c r="C115" i="21"/>
  <c r="D115" i="21"/>
  <c r="S28" i="27"/>
  <c r="Q28" i="27"/>
  <c r="R28" i="27" s="1"/>
  <c r="T28" i="27" s="1"/>
  <c r="U28" i="27" s="1"/>
  <c r="O28" i="27"/>
  <c r="P28" i="27" s="1"/>
  <c r="S27" i="27"/>
  <c r="Q27" i="27"/>
  <c r="R27" i="27" s="1"/>
  <c r="T27" i="27" s="1"/>
  <c r="U27" i="27" s="1"/>
  <c r="O27" i="27"/>
  <c r="P27" i="27" s="1"/>
  <c r="S26" i="27"/>
  <c r="Q26" i="27"/>
  <c r="R26" i="27" s="1"/>
  <c r="T26" i="27" s="1"/>
  <c r="U26" i="27" s="1"/>
  <c r="O26" i="27"/>
  <c r="P26" i="27" s="1"/>
  <c r="S25" i="27"/>
  <c r="Q25" i="27"/>
  <c r="R25" i="27" s="1"/>
  <c r="O25" i="27"/>
  <c r="P25" i="27" s="1"/>
  <c r="S24" i="27"/>
  <c r="Q24" i="27"/>
  <c r="R24" i="27" s="1"/>
  <c r="T24" i="27" s="1"/>
  <c r="U24" i="27" s="1"/>
  <c r="O24" i="27"/>
  <c r="P24" i="27" s="1"/>
  <c r="S23" i="27"/>
  <c r="Q23" i="27"/>
  <c r="R23" i="27" s="1"/>
  <c r="T23" i="27" s="1"/>
  <c r="U23" i="27" s="1"/>
  <c r="O23" i="27"/>
  <c r="P23" i="27" s="1"/>
  <c r="S22" i="27"/>
  <c r="Q22" i="27"/>
  <c r="R22" i="27" s="1"/>
  <c r="T22" i="27" s="1"/>
  <c r="U22" i="27" s="1"/>
  <c r="O22" i="27"/>
  <c r="P22" i="27" s="1"/>
  <c r="S21" i="27"/>
  <c r="Q21" i="27"/>
  <c r="R21" i="27" s="1"/>
  <c r="O21" i="27"/>
  <c r="P21" i="27" s="1"/>
  <c r="S20" i="27"/>
  <c r="Q20" i="27"/>
  <c r="R20" i="27" s="1"/>
  <c r="O20" i="27"/>
  <c r="P20" i="27" s="1"/>
  <c r="S19" i="27"/>
  <c r="Q19" i="27"/>
  <c r="O19" i="27"/>
  <c r="P19" i="27" s="1"/>
  <c r="S18" i="27"/>
  <c r="Q18" i="27"/>
  <c r="R18" i="27" s="1"/>
  <c r="O18" i="27"/>
  <c r="P18" i="27" s="1"/>
  <c r="S17" i="27"/>
  <c r="Q17" i="27"/>
  <c r="R17" i="27" s="1"/>
  <c r="O17" i="27"/>
  <c r="P17" i="27" s="1"/>
  <c r="S16" i="27"/>
  <c r="Q16" i="27"/>
  <c r="R16" i="27" s="1"/>
  <c r="O16" i="27"/>
  <c r="P16" i="27" s="1"/>
  <c r="S15" i="27"/>
  <c r="Q15" i="27"/>
  <c r="R15" i="27" s="1"/>
  <c r="O15" i="27"/>
  <c r="P15" i="27" s="1"/>
  <c r="S14" i="27"/>
  <c r="Q14" i="27"/>
  <c r="R14" i="27" s="1"/>
  <c r="O14" i="27"/>
  <c r="P14" i="27" s="1"/>
  <c r="S13" i="27"/>
  <c r="T13" i="27" s="1"/>
  <c r="U13" i="27" s="1"/>
  <c r="Q13" i="27"/>
  <c r="R13" i="27" s="1"/>
  <c r="O13" i="27"/>
  <c r="P13" i="27" s="1"/>
  <c r="S12" i="27"/>
  <c r="Q12" i="27"/>
  <c r="R12" i="27" s="1"/>
  <c r="O12" i="27"/>
  <c r="P12" i="27" s="1"/>
  <c r="S11" i="27"/>
  <c r="Q11" i="27"/>
  <c r="R11" i="27" s="1"/>
  <c r="O11" i="27"/>
  <c r="P11" i="27" s="1"/>
  <c r="S10" i="27"/>
  <c r="Q10" i="27"/>
  <c r="R10" i="27" s="1"/>
  <c r="O10" i="27"/>
  <c r="P10" i="27" s="1"/>
  <c r="S9" i="27"/>
  <c r="Q9" i="27"/>
  <c r="R9" i="27" s="1"/>
  <c r="O9" i="27"/>
  <c r="P9" i="27" s="1"/>
  <c r="S8" i="27"/>
  <c r="Q8" i="27"/>
  <c r="R8" i="27" s="1"/>
  <c r="O8" i="27"/>
  <c r="P8" i="27" s="1"/>
  <c r="C242" i="21"/>
  <c r="D242" i="21"/>
  <c r="D240" i="21"/>
  <c r="H173" i="21"/>
  <c r="AC24" i="22"/>
  <c r="Y24" i="22"/>
  <c r="Z24" i="22" s="1"/>
  <c r="W24" i="22"/>
  <c r="T24" i="22"/>
  <c r="R24" i="22"/>
  <c r="S24" i="22" s="1"/>
  <c r="W108" i="21"/>
  <c r="X108" i="21"/>
  <c r="R108" i="21"/>
  <c r="S108" i="21"/>
  <c r="M108" i="21"/>
  <c r="N108" i="21"/>
  <c r="H108" i="21"/>
  <c r="I108" i="21"/>
  <c r="C108" i="21"/>
  <c r="D108" i="21"/>
  <c r="C240" i="21"/>
  <c r="C241" i="21"/>
  <c r="I182" i="21"/>
  <c r="I180" i="21"/>
  <c r="I179" i="21"/>
  <c r="I178" i="21"/>
  <c r="I175" i="21"/>
  <c r="H182" i="21"/>
  <c r="H181" i="21"/>
  <c r="H180" i="21"/>
  <c r="H179" i="21"/>
  <c r="H178" i="21"/>
  <c r="H177" i="21"/>
  <c r="H176" i="21"/>
  <c r="H175" i="21"/>
  <c r="H174" i="21"/>
  <c r="H172" i="21"/>
  <c r="H171" i="21"/>
  <c r="N182" i="21"/>
  <c r="N181" i="21"/>
  <c r="N180" i="21"/>
  <c r="N179" i="21"/>
  <c r="N178" i="21"/>
  <c r="N177" i="21"/>
  <c r="N176" i="21"/>
  <c r="N175" i="21"/>
  <c r="N173" i="21"/>
  <c r="M182" i="21"/>
  <c r="M181" i="21"/>
  <c r="M180" i="21"/>
  <c r="M179" i="21"/>
  <c r="M178" i="21"/>
  <c r="M177" i="21"/>
  <c r="M176" i="21"/>
  <c r="M175" i="21"/>
  <c r="M174" i="21"/>
  <c r="M173" i="21"/>
  <c r="M172" i="21"/>
  <c r="M171" i="21"/>
  <c r="S182" i="21"/>
  <c r="S181" i="21"/>
  <c r="S179" i="21"/>
  <c r="S177" i="21"/>
  <c r="S176" i="21"/>
  <c r="S175" i="21"/>
  <c r="S172" i="21"/>
  <c r="S171" i="21"/>
  <c r="R182" i="21"/>
  <c r="R181" i="21"/>
  <c r="R180" i="21"/>
  <c r="R179" i="21"/>
  <c r="R178" i="21"/>
  <c r="R177" i="21"/>
  <c r="R176" i="21"/>
  <c r="R175" i="21"/>
  <c r="R174" i="21"/>
  <c r="R173" i="21"/>
  <c r="R172" i="21"/>
  <c r="R171" i="21"/>
  <c r="X182" i="21"/>
  <c r="X181" i="21"/>
  <c r="X180" i="21"/>
  <c r="X179" i="21"/>
  <c r="X178" i="21"/>
  <c r="X177" i="21"/>
  <c r="X176" i="21"/>
  <c r="X175" i="21"/>
  <c r="X174" i="21"/>
  <c r="X173" i="21"/>
  <c r="X172" i="21"/>
  <c r="W182" i="21"/>
  <c r="W181" i="21"/>
  <c r="W180" i="21"/>
  <c r="W179" i="21"/>
  <c r="W178" i="21"/>
  <c r="W177" i="21"/>
  <c r="W176" i="21"/>
  <c r="W175" i="21"/>
  <c r="W174" i="21"/>
  <c r="W173" i="21"/>
  <c r="W172" i="21"/>
  <c r="W171" i="21"/>
  <c r="D175" i="21"/>
  <c r="D179" i="21"/>
  <c r="D182" i="21"/>
  <c r="C174" i="21"/>
  <c r="C171" i="21"/>
  <c r="C172" i="21"/>
  <c r="C173" i="21"/>
  <c r="C175" i="21"/>
  <c r="C176" i="21"/>
  <c r="C177" i="21"/>
  <c r="C178" i="21"/>
  <c r="C179" i="21"/>
  <c r="C180" i="21"/>
  <c r="C181" i="21"/>
  <c r="C182" i="21"/>
  <c r="T12" i="22"/>
  <c r="R10" i="22"/>
  <c r="S10" i="22" s="1"/>
  <c r="R11" i="22"/>
  <c r="S11" i="22" s="1"/>
  <c r="R12" i="22"/>
  <c r="S12" i="22" s="1"/>
  <c r="R13" i="22"/>
  <c r="S13" i="22" s="1"/>
  <c r="R14" i="22"/>
  <c r="S14" i="22" s="1"/>
  <c r="R15" i="22"/>
  <c r="S15" i="22" s="1"/>
  <c r="R16" i="22"/>
  <c r="S16" i="22" s="1"/>
  <c r="R17" i="22"/>
  <c r="S17" i="22" s="1"/>
  <c r="R18" i="22"/>
  <c r="S18" i="22" s="1"/>
  <c r="R19" i="22"/>
  <c r="S19" i="22" s="1"/>
  <c r="R20" i="22"/>
  <c r="S20" i="22" s="1"/>
  <c r="R21" i="22"/>
  <c r="S21" i="22" s="1"/>
  <c r="R22" i="22"/>
  <c r="S22" i="22" s="1"/>
  <c r="R23" i="22"/>
  <c r="S23" i="22" s="1"/>
  <c r="R25" i="22"/>
  <c r="S25" i="22" s="1"/>
  <c r="R26" i="22"/>
  <c r="S26" i="22" s="1"/>
  <c r="R27" i="22"/>
  <c r="S27" i="22" s="1"/>
  <c r="R28" i="22"/>
  <c r="S28" i="22" s="1"/>
  <c r="R29" i="22"/>
  <c r="S29" i="22" s="1"/>
  <c r="T29" i="22"/>
  <c r="T28" i="22"/>
  <c r="T27" i="22"/>
  <c r="T26" i="22"/>
  <c r="T25" i="22"/>
  <c r="T23" i="22"/>
  <c r="T22" i="22"/>
  <c r="T21" i="22"/>
  <c r="T20" i="22"/>
  <c r="T19" i="22"/>
  <c r="T18" i="22"/>
  <c r="T17" i="22"/>
  <c r="T16" i="22"/>
  <c r="T15" i="22"/>
  <c r="T14" i="22"/>
  <c r="T13" i="22"/>
  <c r="T11" i="22"/>
  <c r="T10" i="22"/>
  <c r="Y29" i="22"/>
  <c r="Y28" i="22"/>
  <c r="Z28" i="22" s="1"/>
  <c r="Y27" i="22"/>
  <c r="Z27" i="22" s="1"/>
  <c r="Y26" i="22"/>
  <c r="Z26" i="22" s="1"/>
  <c r="Y25" i="22"/>
  <c r="Z25" i="22" s="1"/>
  <c r="Y23" i="22"/>
  <c r="Z23" i="22" s="1"/>
  <c r="Y22" i="22"/>
  <c r="Z22" i="22" s="1"/>
  <c r="Y21" i="22"/>
  <c r="Z21" i="22" s="1"/>
  <c r="Y20" i="22"/>
  <c r="Z20" i="22" s="1"/>
  <c r="Y19" i="22"/>
  <c r="Z19" i="22" s="1"/>
  <c r="Y18" i="22"/>
  <c r="Y17" i="22"/>
  <c r="Z17" i="22" s="1"/>
  <c r="N174" i="21" s="1"/>
  <c r="Y16" i="22"/>
  <c r="Z16" i="22" s="1"/>
  <c r="Y15" i="22"/>
  <c r="Z15" i="22" s="1"/>
  <c r="Y14" i="22"/>
  <c r="Z14" i="22" s="1"/>
  <c r="D177" i="21" s="1"/>
  <c r="Y13" i="22"/>
  <c r="Z13" i="22" s="1"/>
  <c r="S173" i="21" s="1"/>
  <c r="Y12" i="22"/>
  <c r="Z12" i="22" s="1"/>
  <c r="Y11" i="22"/>
  <c r="Y10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5" i="22"/>
  <c r="AC26" i="22"/>
  <c r="AC27" i="22"/>
  <c r="AC28" i="22"/>
  <c r="AC29" i="22"/>
  <c r="T21" i="27" l="1"/>
  <c r="U21" i="27" s="1"/>
  <c r="T25" i="27"/>
  <c r="U25" i="27" s="1"/>
  <c r="T15" i="27"/>
  <c r="U15" i="27" s="1"/>
  <c r="T8" i="27"/>
  <c r="U8" i="27" s="1"/>
  <c r="T12" i="27"/>
  <c r="U12" i="27" s="1"/>
  <c r="T10" i="27"/>
  <c r="U10" i="27" s="1"/>
  <c r="T18" i="27"/>
  <c r="U18" i="27" s="1"/>
  <c r="T11" i="27"/>
  <c r="U11" i="27" s="1"/>
  <c r="T16" i="27"/>
  <c r="U16" i="27" s="1"/>
  <c r="T20" i="27"/>
  <c r="U20" i="27" s="1"/>
  <c r="T9" i="27"/>
  <c r="U9" i="27" s="1"/>
  <c r="T17" i="27"/>
  <c r="U17" i="27" s="1"/>
  <c r="T14" i="27"/>
  <c r="U14" i="27" s="1"/>
  <c r="I177" i="21"/>
  <c r="N171" i="21"/>
  <c r="D181" i="21"/>
  <c r="I181" i="21"/>
  <c r="R19" i="27"/>
  <c r="T19" i="27" s="1"/>
  <c r="U19" i="27" s="1"/>
  <c r="S29" i="27"/>
  <c r="P29" i="27"/>
  <c r="V24" i="22"/>
  <c r="N172" i="21"/>
  <c r="S174" i="21"/>
  <c r="AB24" i="22"/>
  <c r="AE24" i="22"/>
  <c r="X24" i="22"/>
  <c r="AD24" i="22"/>
  <c r="D172" i="21"/>
  <c r="H183" i="21"/>
  <c r="C183" i="21"/>
  <c r="M183" i="21"/>
  <c r="R183" i="21"/>
  <c r="W183" i="21"/>
  <c r="V16" i="22"/>
  <c r="V23" i="22"/>
  <c r="V17" i="22"/>
  <c r="V28" i="22"/>
  <c r="V26" i="22"/>
  <c r="V25" i="22"/>
  <c r="V22" i="22"/>
  <c r="V13" i="22"/>
  <c r="Z18" i="22"/>
  <c r="I173" i="21" s="1"/>
  <c r="Z29" i="22"/>
  <c r="Z11" i="22"/>
  <c r="Z10" i="22"/>
  <c r="V10" i="22"/>
  <c r="V11" i="22"/>
  <c r="V12" i="22"/>
  <c r="V18" i="22"/>
  <c r="V14" i="22"/>
  <c r="AD14" i="22"/>
  <c r="V27" i="22"/>
  <c r="V29" i="22"/>
  <c r="V19" i="22"/>
  <c r="V21" i="22"/>
  <c r="V20" i="22"/>
  <c r="AD19" i="22"/>
  <c r="AD18" i="22"/>
  <c r="AD17" i="22"/>
  <c r="AD29" i="22"/>
  <c r="AD27" i="22"/>
  <c r="AD13" i="22"/>
  <c r="AD25" i="22"/>
  <c r="AD12" i="22"/>
  <c r="AD23" i="22"/>
  <c r="AD11" i="22"/>
  <c r="AD22" i="22"/>
  <c r="AD10" i="22"/>
  <c r="AD26" i="22"/>
  <c r="AD21" i="22"/>
  <c r="AC30" i="22"/>
  <c r="AD28" i="22"/>
  <c r="AD20" i="22"/>
  <c r="D173" i="21" l="1"/>
  <c r="D180" i="21"/>
  <c r="S180" i="21"/>
  <c r="N183" i="21"/>
  <c r="O173" i="21" s="1"/>
  <c r="I176" i="21"/>
  <c r="D176" i="21"/>
  <c r="I174" i="21"/>
  <c r="D178" i="21"/>
  <c r="S178" i="21"/>
  <c r="S183" i="21" s="1"/>
  <c r="T29" i="27"/>
  <c r="U29" i="27" s="1"/>
  <c r="R29" i="27"/>
  <c r="D241" i="21"/>
  <c r="X171" i="21"/>
  <c r="X183" i="21" s="1"/>
  <c r="Y179" i="21" s="1"/>
  <c r="I171" i="21"/>
  <c r="D174" i="21"/>
  <c r="I172" i="21"/>
  <c r="D171" i="21"/>
  <c r="D4" i="27" l="1"/>
  <c r="O180" i="21"/>
  <c r="O174" i="21"/>
  <c r="O177" i="21"/>
  <c r="O176" i="21"/>
  <c r="O175" i="21"/>
  <c r="O172" i="21"/>
  <c r="O171" i="21"/>
  <c r="O178" i="21"/>
  <c r="O181" i="21"/>
  <c r="O179" i="21"/>
  <c r="O182" i="21"/>
  <c r="T181" i="21"/>
  <c r="T180" i="21"/>
  <c r="T171" i="21"/>
  <c r="T178" i="21"/>
  <c r="T179" i="21"/>
  <c r="T182" i="21"/>
  <c r="T172" i="21"/>
  <c r="T176" i="21"/>
  <c r="T177" i="21"/>
  <c r="T175" i="21"/>
  <c r="T173" i="21"/>
  <c r="T174" i="21"/>
  <c r="Y177" i="21"/>
  <c r="Y171" i="21"/>
  <c r="Y175" i="21"/>
  <c r="Y181" i="21"/>
  <c r="Y173" i="21"/>
  <c r="Y176" i="21"/>
  <c r="Y182" i="21"/>
  <c r="Y178" i="21"/>
  <c r="Y180" i="21"/>
  <c r="Y172" i="21"/>
  <c r="Y174" i="21"/>
  <c r="D183" i="21"/>
  <c r="E181" i="21" s="1"/>
  <c r="I183" i="21"/>
  <c r="J178" i="21" s="1"/>
  <c r="O183" i="21" l="1"/>
  <c r="T183" i="21"/>
  <c r="Y183" i="21"/>
  <c r="E175" i="21"/>
  <c r="E179" i="21"/>
  <c r="E182" i="21"/>
  <c r="E173" i="21"/>
  <c r="E172" i="21"/>
  <c r="E171" i="21"/>
  <c r="E177" i="21"/>
  <c r="E180" i="21"/>
  <c r="J176" i="21"/>
  <c r="J172" i="21"/>
  <c r="J182" i="21"/>
  <c r="J171" i="21"/>
  <c r="E178" i="21"/>
  <c r="J179" i="21"/>
  <c r="J174" i="21"/>
  <c r="E174" i="21"/>
  <c r="J173" i="21"/>
  <c r="E176" i="21"/>
  <c r="J175" i="21"/>
  <c r="J180" i="21"/>
  <c r="J177" i="21"/>
  <c r="J181" i="21"/>
  <c r="E183" i="21" l="1"/>
  <c r="J183" i="21"/>
  <c r="C38" i="24" l="1"/>
  <c r="C33" i="24"/>
  <c r="C22" i="24"/>
  <c r="C20" i="24"/>
  <c r="J14" i="24"/>
  <c r="C14" i="24"/>
  <c r="B2" i="24"/>
  <c r="F18" i="24" l="1"/>
  <c r="F16" i="24"/>
  <c r="M20" i="24"/>
  <c r="M18" i="24"/>
  <c r="M16" i="24"/>
  <c r="M14" i="24"/>
  <c r="M30" i="24"/>
  <c r="F14" i="24"/>
  <c r="L71" i="24"/>
  <c r="E71" i="24"/>
  <c r="L70" i="24"/>
  <c r="E70" i="24"/>
  <c r="L69" i="24"/>
  <c r="E69" i="24"/>
  <c r="L68" i="24"/>
  <c r="E68" i="24"/>
  <c r="L67" i="24"/>
  <c r="E67" i="24"/>
  <c r="L66" i="24"/>
  <c r="E66" i="24"/>
  <c r="L65" i="24"/>
  <c r="E65" i="24"/>
  <c r="L63" i="24"/>
  <c r="E63" i="24"/>
  <c r="N18" i="24" l="1"/>
  <c r="N20" i="24"/>
  <c r="M24" i="24"/>
  <c r="M26" i="24"/>
  <c r="F34" i="24" l="1"/>
  <c r="G34" i="24" s="1"/>
  <c r="H34" i="24" s="1"/>
  <c r="I34" i="24" s="1"/>
  <c r="J34" i="24" s="1"/>
  <c r="K34" i="24" s="1"/>
  <c r="L34" i="24" s="1"/>
  <c r="M34" i="24" s="1"/>
  <c r="N34" i="24" s="1"/>
  <c r="O34" i="24" s="1"/>
  <c r="F39" i="24" s="1"/>
  <c r="G39" i="24" s="1"/>
  <c r="H39" i="24" s="1"/>
  <c r="I39" i="24" s="1"/>
  <c r="J39" i="24" s="1"/>
  <c r="K39" i="24" s="1"/>
  <c r="L39" i="24" s="1"/>
  <c r="M39" i="24" s="1"/>
  <c r="N39" i="24" s="1"/>
  <c r="O39" i="24" s="1"/>
  <c r="N12" i="24"/>
  <c r="H33" i="24" l="1"/>
  <c r="F35" i="24"/>
  <c r="W10" i="22"/>
  <c r="X10" i="22" s="1"/>
  <c r="W11" i="22"/>
  <c r="X11" i="22" s="1"/>
  <c r="W12" i="22"/>
  <c r="X12" i="22" s="1"/>
  <c r="W13" i="22"/>
  <c r="X13" i="22" s="1"/>
  <c r="W14" i="22"/>
  <c r="X14" i="22" s="1"/>
  <c r="W15" i="22"/>
  <c r="X15" i="22" s="1"/>
  <c r="AD16" i="22"/>
  <c r="W16" i="22"/>
  <c r="X16" i="22" s="1"/>
  <c r="W17" i="22"/>
  <c r="X17" i="22" s="1"/>
  <c r="W18" i="22"/>
  <c r="X18" i="22" s="1"/>
  <c r="W19" i="22"/>
  <c r="X19" i="22" s="1"/>
  <c r="W20" i="22"/>
  <c r="X20" i="22" s="1"/>
  <c r="W21" i="22"/>
  <c r="X21" i="22" s="1"/>
  <c r="W22" i="22"/>
  <c r="X22" i="22" s="1"/>
  <c r="W23" i="22"/>
  <c r="X23" i="22" s="1"/>
  <c r="W25" i="22"/>
  <c r="X25" i="22" s="1"/>
  <c r="W26" i="22"/>
  <c r="X26" i="22" s="1"/>
  <c r="W27" i="22"/>
  <c r="X27" i="22" s="1"/>
  <c r="W28" i="22"/>
  <c r="X28" i="22" s="1"/>
  <c r="W29" i="22"/>
  <c r="X29" i="22" s="1"/>
  <c r="C48" i="21"/>
  <c r="H48" i="21"/>
  <c r="I50" i="21"/>
  <c r="M48" i="21"/>
  <c r="N48" i="21"/>
  <c r="N50" i="21"/>
  <c r="R48" i="21"/>
  <c r="S48" i="21"/>
  <c r="S49" i="21"/>
  <c r="W48" i="21"/>
  <c r="X49" i="21"/>
  <c r="X50" i="21"/>
  <c r="C49" i="21"/>
  <c r="H49" i="21"/>
  <c r="M49" i="21"/>
  <c r="R49" i="21"/>
  <c r="W49" i="21"/>
  <c r="C50" i="21"/>
  <c r="H50" i="21"/>
  <c r="M50" i="21"/>
  <c r="R50" i="21"/>
  <c r="W50" i="21"/>
  <c r="C107" i="21"/>
  <c r="D113" i="21"/>
  <c r="D114" i="21"/>
  <c r="H107" i="21"/>
  <c r="I109" i="21"/>
  <c r="I110" i="21"/>
  <c r="I111" i="21"/>
  <c r="I113" i="21"/>
  <c r="I114" i="21"/>
  <c r="M107" i="21"/>
  <c r="N107" i="21"/>
  <c r="N110" i="21"/>
  <c r="N111" i="21"/>
  <c r="N112" i="21"/>
  <c r="N113" i="21"/>
  <c r="N114" i="21"/>
  <c r="R107" i="21"/>
  <c r="S107" i="21"/>
  <c r="S109" i="21"/>
  <c r="S111" i="21"/>
  <c r="S112" i="21"/>
  <c r="S113" i="21"/>
  <c r="S114" i="21"/>
  <c r="W107" i="21"/>
  <c r="X107" i="21"/>
  <c r="X109" i="21"/>
  <c r="X110" i="21"/>
  <c r="X112" i="21"/>
  <c r="X113" i="21"/>
  <c r="X114" i="21"/>
  <c r="C109" i="21"/>
  <c r="H109" i="21"/>
  <c r="M109" i="21"/>
  <c r="R109" i="21"/>
  <c r="W109" i="21"/>
  <c r="C110" i="21"/>
  <c r="H110" i="21"/>
  <c r="M110" i="21"/>
  <c r="R110" i="21"/>
  <c r="W110" i="21"/>
  <c r="C111" i="21"/>
  <c r="H111" i="21"/>
  <c r="M111" i="21"/>
  <c r="R111" i="21"/>
  <c r="W111" i="21"/>
  <c r="C112" i="21"/>
  <c r="H112" i="21"/>
  <c r="M112" i="21"/>
  <c r="R112" i="21"/>
  <c r="W112" i="21"/>
  <c r="C113" i="21"/>
  <c r="H113" i="21"/>
  <c r="M113" i="21"/>
  <c r="R113" i="21"/>
  <c r="W113" i="21"/>
  <c r="C114" i="21"/>
  <c r="H114" i="21"/>
  <c r="M114" i="21"/>
  <c r="R114" i="21"/>
  <c r="W114" i="21"/>
  <c r="C237" i="21"/>
  <c r="C238" i="21"/>
  <c r="C239" i="21"/>
  <c r="C7" i="1"/>
  <c r="C8" i="1"/>
  <c r="C9" i="1"/>
  <c r="B14" i="1" s="1"/>
  <c r="C14" i="1" s="1"/>
  <c r="D14" i="1" s="1"/>
  <c r="E14" i="1" s="1"/>
  <c r="F14" i="1" s="1"/>
  <c r="G14" i="1" s="1"/>
  <c r="H14" i="1" s="1"/>
  <c r="I14" i="1" s="1"/>
  <c r="J14" i="1" s="1"/>
  <c r="K14" i="1" s="1"/>
  <c r="B12" i="1"/>
  <c r="C12" i="1" s="1"/>
  <c r="D12" i="1" s="1"/>
  <c r="E12" i="1" s="1"/>
  <c r="F12" i="1" s="1"/>
  <c r="G12" i="1" s="1"/>
  <c r="H12" i="1" s="1"/>
  <c r="I12" i="1"/>
  <c r="J12" i="1" s="1"/>
  <c r="K12" i="1" s="1"/>
  <c r="B13" i="1"/>
  <c r="B15" i="1" s="1"/>
  <c r="C17" i="1"/>
  <c r="B7" i="2"/>
  <c r="B8" i="2"/>
  <c r="B9" i="2"/>
  <c r="B12" i="2" s="1"/>
  <c r="C12" i="2" s="1"/>
  <c r="D12" i="2" s="1"/>
  <c r="E12" i="2" s="1"/>
  <c r="F12" i="2" s="1"/>
  <c r="G12" i="2" s="1"/>
  <c r="H12" i="2" s="1"/>
  <c r="I12" i="2" s="1"/>
  <c r="J12" i="2" s="1"/>
  <c r="K12" i="2" s="1"/>
  <c r="B10" i="2"/>
  <c r="C10" i="2"/>
  <c r="D10" i="2" s="1"/>
  <c r="E10" i="2" s="1"/>
  <c r="F10" i="2" s="1"/>
  <c r="G10" i="2" s="1"/>
  <c r="H10" i="2" s="1"/>
  <c r="I10" i="2" s="1"/>
  <c r="J10" i="2" s="1"/>
  <c r="K10" i="2" s="1"/>
  <c r="B11" i="2"/>
  <c r="B13" i="2" s="1"/>
  <c r="B15" i="2" s="1"/>
  <c r="AD15" i="22" l="1"/>
  <c r="V15" i="22"/>
  <c r="AB17" i="22"/>
  <c r="AE17" i="22"/>
  <c r="AB29" i="22"/>
  <c r="AE29" i="22"/>
  <c r="AB16" i="22"/>
  <c r="AE16" i="22"/>
  <c r="AE28" i="22"/>
  <c r="AB28" i="22"/>
  <c r="AB15" i="22"/>
  <c r="AE15" i="22"/>
  <c r="AB27" i="22"/>
  <c r="AE27" i="22"/>
  <c r="X111" i="21"/>
  <c r="X116" i="21" s="1"/>
  <c r="Y115" i="21" s="1"/>
  <c r="AB13" i="22"/>
  <c r="AE13" i="22"/>
  <c r="AB26" i="22"/>
  <c r="AE26" i="22"/>
  <c r="D110" i="21"/>
  <c r="AB12" i="22"/>
  <c r="AE12" i="22"/>
  <c r="AB25" i="22"/>
  <c r="AE25" i="22"/>
  <c r="AB10" i="22"/>
  <c r="AE10" i="22"/>
  <c r="AB23" i="22"/>
  <c r="AE23" i="22"/>
  <c r="AB22" i="22"/>
  <c r="AE22" i="22"/>
  <c r="AB21" i="22"/>
  <c r="AE21" i="22"/>
  <c r="AB20" i="22"/>
  <c r="AE20" i="22"/>
  <c r="AB19" i="22"/>
  <c r="AE19" i="22"/>
  <c r="AB18" i="22"/>
  <c r="AE18" i="22"/>
  <c r="M51" i="21"/>
  <c r="X48" i="21"/>
  <c r="X51" i="21" s="1"/>
  <c r="Y49" i="21" s="1"/>
  <c r="C243" i="21"/>
  <c r="R51" i="21"/>
  <c r="M116" i="21"/>
  <c r="D111" i="21"/>
  <c r="H51" i="21"/>
  <c r="D239" i="21"/>
  <c r="C51" i="21"/>
  <c r="H116" i="21"/>
  <c r="W51" i="21"/>
  <c r="G35" i="24"/>
  <c r="H35" i="24"/>
  <c r="I33" i="24"/>
  <c r="I48" i="21"/>
  <c r="I107" i="21"/>
  <c r="D48" i="21"/>
  <c r="D107" i="21"/>
  <c r="T30" i="22"/>
  <c r="C11" i="2"/>
  <c r="W116" i="21"/>
  <c r="S50" i="21"/>
  <c r="S51" i="21" s="1"/>
  <c r="S110" i="21"/>
  <c r="S116" i="21" s="1"/>
  <c r="R116" i="21"/>
  <c r="C116" i="21"/>
  <c r="D50" i="21"/>
  <c r="C13" i="1"/>
  <c r="T108" i="21" l="1"/>
  <c r="T115" i="21"/>
  <c r="U24" i="22"/>
  <c r="Y109" i="21"/>
  <c r="Y108" i="21"/>
  <c r="U22" i="22"/>
  <c r="U10" i="22"/>
  <c r="U23" i="22"/>
  <c r="U14" i="22"/>
  <c r="U11" i="22"/>
  <c r="U25" i="22"/>
  <c r="U28" i="22"/>
  <c r="U16" i="22"/>
  <c r="U17" i="22"/>
  <c r="U12" i="22"/>
  <c r="U26" i="22"/>
  <c r="U29" i="22"/>
  <c r="U15" i="22"/>
  <c r="U13" i="22"/>
  <c r="U21" i="22"/>
  <c r="U20" i="22"/>
  <c r="U19" i="22"/>
  <c r="U18" i="22"/>
  <c r="U27" i="22"/>
  <c r="N49" i="21"/>
  <c r="N51" i="21" s="1"/>
  <c r="O50" i="21" s="1"/>
  <c r="AB11" i="22"/>
  <c r="AE11" i="22"/>
  <c r="AB14" i="22"/>
  <c r="AE14" i="22"/>
  <c r="S30" i="22"/>
  <c r="Y48" i="21"/>
  <c r="D238" i="21"/>
  <c r="D109" i="21"/>
  <c r="N109" i="21"/>
  <c r="N116" i="21" s="1"/>
  <c r="O115" i="21" s="1"/>
  <c r="D49" i="21"/>
  <c r="D51" i="21" s="1"/>
  <c r="E49" i="21" s="1"/>
  <c r="Y50" i="21"/>
  <c r="Y111" i="21"/>
  <c r="Y114" i="21"/>
  <c r="Y110" i="21"/>
  <c r="Y113" i="21"/>
  <c r="Y107" i="21"/>
  <c r="Y112" i="21"/>
  <c r="D237" i="21"/>
  <c r="I35" i="24"/>
  <c r="J33" i="24"/>
  <c r="I49" i="21"/>
  <c r="I51" i="21" s="1"/>
  <c r="I112" i="21"/>
  <c r="I116" i="21" s="1"/>
  <c r="D112" i="21"/>
  <c r="D13" i="1"/>
  <c r="C15" i="1"/>
  <c r="Z30" i="22"/>
  <c r="T48" i="21"/>
  <c r="T50" i="21"/>
  <c r="T49" i="21"/>
  <c r="C13" i="2"/>
  <c r="D11" i="2"/>
  <c r="T110" i="21"/>
  <c r="T109" i="21"/>
  <c r="T114" i="21"/>
  <c r="T111" i="21"/>
  <c r="T113" i="21"/>
  <c r="T107" i="21"/>
  <c r="T112" i="21"/>
  <c r="J108" i="21" l="1"/>
  <c r="J115" i="21"/>
  <c r="AA24" i="22"/>
  <c r="O114" i="21"/>
  <c r="O108" i="21"/>
  <c r="AA10" i="22"/>
  <c r="AA22" i="22"/>
  <c r="AA11" i="22"/>
  <c r="AA23" i="22"/>
  <c r="AA12" i="22"/>
  <c r="AA25" i="22"/>
  <c r="AA13" i="22"/>
  <c r="AA26" i="22"/>
  <c r="AA14" i="22"/>
  <c r="AA27" i="22"/>
  <c r="AA15" i="22"/>
  <c r="AA28" i="22"/>
  <c r="AA29" i="22"/>
  <c r="AA20" i="22"/>
  <c r="AA17" i="22"/>
  <c r="AA18" i="22"/>
  <c r="AA19" i="22"/>
  <c r="AA21" i="22"/>
  <c r="AA16" i="22"/>
  <c r="O48" i="21"/>
  <c r="O49" i="21"/>
  <c r="D116" i="21"/>
  <c r="Y51" i="21"/>
  <c r="D243" i="21"/>
  <c r="O109" i="21"/>
  <c r="O110" i="21"/>
  <c r="O111" i="21"/>
  <c r="O107" i="21"/>
  <c r="O112" i="21"/>
  <c r="O113" i="21"/>
  <c r="Y116" i="21"/>
  <c r="E50" i="21"/>
  <c r="E48" i="21"/>
  <c r="J35" i="24"/>
  <c r="K33" i="24"/>
  <c r="J107" i="21"/>
  <c r="J114" i="21"/>
  <c r="J113" i="21"/>
  <c r="J112" i="21"/>
  <c r="J109" i="21"/>
  <c r="J110" i="21"/>
  <c r="J111" i="21"/>
  <c r="T51" i="21"/>
  <c r="D5" i="22"/>
  <c r="D6" i="22" s="1"/>
  <c r="D13" i="2"/>
  <c r="E11" i="2"/>
  <c r="J50" i="21"/>
  <c r="J49" i="21"/>
  <c r="J48" i="21"/>
  <c r="T116" i="21"/>
  <c r="E13" i="1"/>
  <c r="D15" i="1"/>
  <c r="E108" i="21" l="1"/>
  <c r="E115" i="21"/>
  <c r="E242" i="21"/>
  <c r="E237" i="21"/>
  <c r="E238" i="21"/>
  <c r="E239" i="21"/>
  <c r="E240" i="21"/>
  <c r="E241" i="21"/>
  <c r="E111" i="21"/>
  <c r="O51" i="21"/>
  <c r="E107" i="21"/>
  <c r="E112" i="21"/>
  <c r="E113" i="21"/>
  <c r="E109" i="21"/>
  <c r="E114" i="21"/>
  <c r="E110" i="21"/>
  <c r="O116" i="21"/>
  <c r="J51" i="21"/>
  <c r="E51" i="21"/>
  <c r="K35" i="24"/>
  <c r="L33" i="24"/>
  <c r="F13" i="1"/>
  <c r="E15" i="1"/>
  <c r="F11" i="2"/>
  <c r="E13" i="2"/>
  <c r="J116" i="21"/>
  <c r="E116" i="21" l="1"/>
  <c r="E243" i="21"/>
  <c r="L35" i="24"/>
  <c r="M33" i="24"/>
  <c r="G11" i="2"/>
  <c r="F13" i="2"/>
  <c r="G13" i="1"/>
  <c r="F15" i="1"/>
  <c r="N33" i="24" l="1"/>
  <c r="M35" i="24"/>
  <c r="H11" i="2"/>
  <c r="G13" i="2"/>
  <c r="H13" i="1"/>
  <c r="G15" i="1"/>
  <c r="O33" i="24" l="1"/>
  <c r="N35" i="24"/>
  <c r="I13" i="1"/>
  <c r="H15" i="1"/>
  <c r="I11" i="2"/>
  <c r="H13" i="2"/>
  <c r="F38" i="24" l="1"/>
  <c r="O35" i="24"/>
  <c r="J11" i="2"/>
  <c r="I13" i="2"/>
  <c r="I15" i="1"/>
  <c r="J13" i="1"/>
  <c r="F40" i="24" l="1"/>
  <c r="G38" i="24"/>
  <c r="J15" i="1"/>
  <c r="C19" i="1" s="1"/>
  <c r="C20" i="1" s="1"/>
  <c r="K13" i="1"/>
  <c r="K15" i="1" s="1"/>
  <c r="K11" i="2"/>
  <c r="K13" i="2" s="1"/>
  <c r="J13" i="2"/>
  <c r="G40" i="24" l="1"/>
  <c r="H38" i="24"/>
  <c r="H40" i="24" l="1"/>
  <c r="I38" i="24"/>
  <c r="J38" i="24" l="1"/>
  <c r="I40" i="24"/>
  <c r="K38" i="24" l="1"/>
  <c r="J40" i="24"/>
  <c r="L38" i="24" l="1"/>
  <c r="K40" i="24"/>
  <c r="M38" i="24" l="1"/>
  <c r="L40" i="24"/>
  <c r="N38" i="24" l="1"/>
  <c r="M40" i="24"/>
  <c r="O38" i="24" l="1"/>
  <c r="N40" i="24"/>
  <c r="O40" i="24" l="1"/>
  <c r="N14" i="24" s="1"/>
  <c r="N16" i="24" s="1"/>
  <c r="N24" i="24" s="1"/>
  <c r="N26" i="24" l="1"/>
  <c r="M28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Ng</author>
    <author>Adam Khoo</author>
  </authors>
  <commentList>
    <comment ref="J8" authorId="0" shapeId="0" xr:uid="{566994E4-E05E-4DDE-9515-BE0030613CA8}">
      <text>
        <r>
          <rPr>
            <b/>
            <sz val="10"/>
            <color indexed="81"/>
            <rFont val="Verdana"/>
            <family val="2"/>
          </rPr>
          <t>Select the currency used by the company to report its financials.</t>
        </r>
      </text>
    </comment>
    <comment ref="J10" authorId="0" shapeId="0" xr:uid="{372B8AF3-2662-43A0-A85E-15652EDB0F9D}">
      <text>
        <r>
          <rPr>
            <b/>
            <sz val="10"/>
            <color indexed="81"/>
            <rFont val="Verdana"/>
            <family val="2"/>
          </rPr>
          <t>Select the currency used where the stock is being listed.</t>
        </r>
      </text>
    </comment>
    <comment ref="F12" authorId="0" shapeId="0" xr:uid="{7CBC989D-58A0-4AEF-B7D4-4F49228DCF38}">
      <text>
        <r>
          <rPr>
            <b/>
            <sz val="10"/>
            <color rgb="FF000000"/>
            <rFont val="Verdana"/>
            <family val="2"/>
          </rPr>
          <t xml:space="preserve">If Revenue, Net Income, and Operating Cash Flow is consistent, use Discounted Cash Flow.
</t>
        </r>
        <r>
          <rPr>
            <b/>
            <sz val="10"/>
            <color rgb="FF000000"/>
            <rFont val="Verdana"/>
            <family val="2"/>
          </rPr>
          <t xml:space="preserve">
</t>
        </r>
        <r>
          <rPr>
            <b/>
            <sz val="10"/>
            <color rgb="FF000000"/>
            <rFont val="Verdana"/>
            <family val="2"/>
          </rPr>
          <t xml:space="preserve">If Revenue, Net Income, and Operating Cash Flow is consistent, but Operating Cash Flow &gt; 1.5x Net Income, Use Discounted Free Cash Flow. 
</t>
        </r>
        <r>
          <rPr>
            <b/>
            <sz val="10"/>
            <color rgb="FF000000"/>
            <rFont val="Verdana"/>
            <family val="2"/>
          </rPr>
          <t xml:space="preserve">
</t>
        </r>
        <r>
          <rPr>
            <b/>
            <sz val="10"/>
            <color rgb="FF000000"/>
            <rFont val="Verdana"/>
            <family val="2"/>
          </rPr>
          <t>If Operating Cash Flow is not consistent but Revenue and Net Income is consistent, use Discounted Net Income.</t>
        </r>
      </text>
    </comment>
    <comment ref="J12" authorId="0" shapeId="0" xr:uid="{10F197D3-5A39-284B-8FE9-C989FAF055AE}">
      <text>
        <r>
          <rPr>
            <b/>
            <sz val="10"/>
            <color rgb="FF000000"/>
            <rFont val="Verdana"/>
            <family val="34"/>
          </rPr>
          <t xml:space="preserve">https://www.xe.com/currencyconverter/
</t>
        </r>
        <r>
          <rPr>
            <b/>
            <sz val="10"/>
            <color rgb="FF000000"/>
            <rFont val="Verdana"/>
            <family val="34"/>
          </rPr>
          <t xml:space="preserve">or Google for any currency conversion website
</t>
        </r>
      </text>
    </comment>
    <comment ref="C14" authorId="1" shapeId="0" xr:uid="{9377A0B2-2CF0-4AFC-A020-9CC84C746514}">
      <text>
        <r>
          <rPr>
            <b/>
            <sz val="10"/>
            <color rgb="FF000000"/>
            <rFont val="Verdana"/>
            <family val="2"/>
          </rPr>
          <t>If Operating Cash Flow &gt; 1.5x Net Income, use Free Cash Flow.
--
(Operating Cash Flow)
Statement of Cash Flows
Last 4 Quarters
or
(Net Income)
Income sheet
Latest Annual
or
(Free Cash Flow)
Statement of Cash Flows
Last 4 Quarters</t>
        </r>
      </text>
    </comment>
    <comment ref="C16" authorId="1" shapeId="0" xr:uid="{F6BD7321-7411-4F6C-B70D-A292C15C156D}">
      <text>
        <r>
          <rPr>
            <b/>
            <sz val="10"/>
            <color rgb="FF000000"/>
            <rFont val="Verdana"/>
            <family val="2"/>
          </rPr>
          <t xml:space="preserve">Balance Sheet
</t>
        </r>
        <r>
          <rPr>
            <b/>
            <sz val="10"/>
            <color rgb="FF000000"/>
            <rFont val="Verdana"/>
            <family val="2"/>
          </rPr>
          <t>Last Quarter</t>
        </r>
      </text>
    </comment>
    <comment ref="C18" authorId="1" shapeId="0" xr:uid="{E72677E0-4536-447F-97BE-52F9D2C109EA}">
      <text>
        <r>
          <rPr>
            <b/>
            <sz val="10"/>
            <color rgb="FF000000"/>
            <rFont val="Verdana"/>
            <family val="2"/>
          </rPr>
          <t xml:space="preserve">Balance Sheet
</t>
        </r>
        <r>
          <rPr>
            <b/>
            <sz val="10"/>
            <color rgb="FF000000"/>
            <rFont val="Verdana"/>
            <family val="2"/>
          </rPr>
          <t>Last Quarter</t>
        </r>
      </text>
    </comment>
    <comment ref="C20" authorId="1" shapeId="0" xr:uid="{FA73E900-DCA7-43DC-A47C-A17DE37AAA6D}">
      <text>
        <r>
          <rPr>
            <b/>
            <sz val="10"/>
            <color rgb="FF000000"/>
            <rFont val="Verdana"/>
            <family val="2"/>
          </rPr>
          <t xml:space="preserve">LT Growth Rate
</t>
        </r>
        <r>
          <rPr>
            <b/>
            <sz val="10"/>
            <color rgb="FF000000"/>
            <rFont val="Verdana"/>
            <family val="2"/>
          </rPr>
          <t xml:space="preserve">or
</t>
        </r>
        <r>
          <rPr>
            <b/>
            <sz val="10"/>
            <color rgb="FF000000"/>
            <rFont val="Verdana"/>
            <family val="2"/>
          </rPr>
          <t>EPS 5-Year Growth Rate</t>
        </r>
      </text>
    </comment>
    <comment ref="C22" authorId="1" shapeId="0" xr:uid="{B6C7A40D-DA4D-4AC2-8C8E-37162D70E7BA}">
      <text>
        <r>
          <rPr>
            <b/>
            <sz val="10"/>
            <color rgb="FF000000"/>
            <rFont val="Verdana"/>
            <family val="2"/>
          </rPr>
          <t>Maximum 15%</t>
        </r>
      </text>
    </comment>
    <comment ref="C24" authorId="1" shapeId="0" xr:uid="{3C9ECBFE-7487-E94D-8A43-6C12FCDB71A1}">
      <text>
        <r>
          <rPr>
            <b/>
            <sz val="10"/>
            <color rgb="FF000000"/>
            <rFont val="Verdana"/>
            <family val="2"/>
          </rPr>
          <t xml:space="preserve">Slightly higher than Long Term GDP Growth Rate
</t>
        </r>
        <r>
          <rPr>
            <b/>
            <sz val="10"/>
            <color rgb="FF000000"/>
            <rFont val="Verdana"/>
            <family val="2"/>
          </rPr>
          <t xml:space="preserve">
</t>
        </r>
        <r>
          <rPr>
            <b/>
            <sz val="10"/>
            <color rgb="FF000000"/>
            <rFont val="Verdana"/>
            <family val="2"/>
          </rPr>
          <t xml:space="preserve">US Stocks: 4%
</t>
        </r>
        <r>
          <rPr>
            <b/>
            <sz val="10"/>
            <color rgb="FF000000"/>
            <rFont val="Verdana"/>
            <family val="2"/>
          </rPr>
          <t>China Stocks: 6%</t>
        </r>
      </text>
    </comment>
    <comment ref="C26" authorId="1" shapeId="0" xr:uid="{D8D32150-F735-489D-9E39-A906436730EB}">
      <text>
        <r>
          <rPr>
            <b/>
            <sz val="10"/>
            <color rgb="FF000000"/>
            <rFont val="Verdana"/>
            <family val="2"/>
          </rPr>
          <t>finance.yahoo.com/quote/&lt;Stock&gt; -&gt; Statistics</t>
        </r>
      </text>
    </comment>
    <comment ref="C28" authorId="0" shapeId="0" xr:uid="{853C9DEA-6183-C349-8574-798A48DB18B1}">
      <text>
        <r>
          <rPr>
            <b/>
            <sz val="10"/>
            <color rgb="FF000000"/>
            <rFont val="Verdana"/>
            <family val="34"/>
          </rPr>
          <t>Refer to the Discount Rate table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Ng</author>
  </authors>
  <commentList>
    <comment ref="J8" authorId="0" shapeId="0" xr:uid="{52C784A8-2CC9-ED49-859E-EA84A76A75EC}">
      <text>
        <r>
          <rPr>
            <b/>
            <sz val="10"/>
            <color rgb="FF000000"/>
            <rFont val="Verdana"/>
            <family val="2"/>
          </rPr>
          <t>Select the currency used by the company to report its financials.</t>
        </r>
      </text>
    </comment>
    <comment ref="J10" authorId="0" shapeId="0" xr:uid="{A8D642DF-47EF-6846-A206-D39599164B6C}">
      <text>
        <r>
          <rPr>
            <b/>
            <sz val="10"/>
            <color rgb="FF000000"/>
            <rFont val="Verdana"/>
            <family val="2"/>
          </rPr>
          <t>Select the currency used where the stock is being listed.</t>
        </r>
      </text>
    </comment>
    <comment ref="C12" authorId="0" shapeId="0" xr:uid="{E3A2AC57-8F08-DB42-8ADF-F518EA5DC5D4}">
      <text>
        <r>
          <rPr>
            <b/>
            <sz val="10"/>
            <color rgb="FF000000"/>
            <rFont val="Verdana"/>
            <family val="34"/>
          </rPr>
          <t>finance.yahoo.com/quote/&lt;Stock&gt; -&gt; Statistics</t>
        </r>
        <r>
          <rPr>
            <sz val="10"/>
            <color rgb="FF000000"/>
            <rFont val="Verdana"/>
            <family val="34"/>
          </rPr>
          <t xml:space="preserve"> -&gt; </t>
        </r>
        <r>
          <rPr>
            <b/>
            <sz val="10"/>
            <color rgb="FF000000"/>
            <rFont val="Verdana"/>
            <family val="34"/>
          </rPr>
          <t>Book Value per Share</t>
        </r>
        <r>
          <rPr>
            <sz val="10"/>
            <color rgb="FF000000"/>
            <rFont val="Verdana"/>
            <family val="34"/>
          </rPr>
          <t xml:space="preserve">
</t>
        </r>
      </text>
    </comment>
    <comment ref="J12" authorId="0" shapeId="0" xr:uid="{0C0A4FA8-4A1C-8940-9A15-886443DAB450}">
      <text>
        <r>
          <rPr>
            <b/>
            <sz val="10"/>
            <color rgb="FF000000"/>
            <rFont val="Verdana"/>
            <family val="34"/>
          </rPr>
          <t xml:space="preserve">https://www.xe.com/currencyconverter/
</t>
        </r>
        <r>
          <rPr>
            <b/>
            <sz val="10"/>
            <color rgb="FF000000"/>
            <rFont val="Verdana"/>
            <family val="34"/>
          </rPr>
          <t xml:space="preserve">or Google for any currency conversion website
</t>
        </r>
      </text>
    </comment>
    <comment ref="C14" authorId="0" shapeId="0" xr:uid="{33D02307-2199-C345-9D0A-BE512826E66C}">
      <text>
        <r>
          <rPr>
            <b/>
            <sz val="10"/>
            <color rgb="FF000000"/>
            <rFont val="Verdana"/>
            <family val="2"/>
          </rPr>
          <t>Select the number of historical years that will be used for Mean Price to Book calculation.</t>
        </r>
      </text>
    </comment>
    <comment ref="C17" authorId="0" shapeId="0" xr:uid="{A205FB5F-9748-FD40-999F-A318D239CB88}">
      <text>
        <r>
          <rPr>
            <b/>
            <sz val="10"/>
            <color rgb="FF000000"/>
            <rFont val="Verdana"/>
            <family val="34"/>
          </rPr>
          <t xml:space="preserve">Morningstar &gt; Valuation
</t>
        </r>
        <r>
          <rPr>
            <b/>
            <sz val="10"/>
            <color rgb="FF000000"/>
            <rFont val="Verdana"/>
            <family val="34"/>
          </rPr>
          <t xml:space="preserve">or
</t>
        </r>
        <r>
          <rPr>
            <b/>
            <sz val="10"/>
            <color rgb="FF000000"/>
            <rFont val="Verdana"/>
            <family val="34"/>
          </rPr>
          <t>Tradingview &gt; Indicators, metrics, and strategies &gt; Price to Book Ratio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Ng</author>
  </authors>
  <commentList>
    <comment ref="J8" authorId="0" shapeId="0" xr:uid="{71DA4272-A708-2545-9766-1D8C72241702}">
      <text>
        <r>
          <rPr>
            <b/>
            <sz val="10"/>
            <color rgb="FF000000"/>
            <rFont val="Verdana"/>
            <family val="2"/>
          </rPr>
          <t>Select the currency used by the company to report its financials.</t>
        </r>
      </text>
    </comment>
    <comment ref="J10" authorId="0" shapeId="0" xr:uid="{50661D07-D7A8-1C46-97D1-4944E7EF32D9}">
      <text>
        <r>
          <rPr>
            <b/>
            <sz val="10"/>
            <color rgb="FF000000"/>
            <rFont val="Verdana"/>
            <family val="2"/>
          </rPr>
          <t>Select the currency used where the stock is being listed.</t>
        </r>
      </text>
    </comment>
    <comment ref="J12" authorId="0" shapeId="0" xr:uid="{5D994507-9C24-574B-BD26-6B8DD51A3349}">
      <text>
        <r>
          <rPr>
            <b/>
            <sz val="10"/>
            <color rgb="FF000000"/>
            <rFont val="Verdana"/>
            <family val="34"/>
          </rPr>
          <t xml:space="preserve">https://www.xe.com/currencyconverter/
</t>
        </r>
        <r>
          <rPr>
            <b/>
            <sz val="10"/>
            <color rgb="FF000000"/>
            <rFont val="Verdana"/>
            <family val="34"/>
          </rPr>
          <t xml:space="preserve">or Google for any currency conversion website
</t>
        </r>
      </text>
    </comment>
    <comment ref="C14" authorId="0" shapeId="0" xr:uid="{7AABC301-C832-A84E-AF8D-90EBCD78FF68}">
      <text>
        <r>
          <rPr>
            <b/>
            <sz val="10"/>
            <color rgb="FF000000"/>
            <rFont val="Verdana"/>
            <family val="34"/>
          </rPr>
          <t>finance.yahoo.com/quote/&lt;Stock&gt; -&gt; Statistics</t>
        </r>
        <r>
          <rPr>
            <sz val="10"/>
            <color rgb="FF000000"/>
            <rFont val="Verdana"/>
            <family val="34"/>
          </rPr>
          <t xml:space="preserve"> -&gt; </t>
        </r>
        <r>
          <rPr>
            <b/>
            <sz val="10"/>
            <color rgb="FF000000"/>
            <rFont val="Verdana"/>
            <family val="34"/>
          </rPr>
          <t>Revenue per Share</t>
        </r>
      </text>
    </comment>
    <comment ref="C16" authorId="0" shapeId="0" xr:uid="{FBD9B613-0725-4247-8C71-F49460EB62C3}">
      <text>
        <r>
          <rPr>
            <b/>
            <sz val="12"/>
            <color rgb="FF000000"/>
            <rFont val="Verdana"/>
            <family val="2"/>
          </rPr>
          <t>Projected Revenue Growth Rate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Ng</author>
  </authors>
  <commentList>
    <comment ref="G46" authorId="0" shapeId="0" xr:uid="{47D7E577-1E1C-47CB-A7E3-AF3EB48E2B34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L46" authorId="0" shapeId="0" xr:uid="{E0BCDA49-92C4-4AF6-B5DB-75FE4E83A269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Q46" authorId="0" shapeId="0" xr:uid="{2267770E-EEE6-4E05-AE44-55CF3387E08D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V46" authorId="0" shapeId="0" xr:uid="{239AEEFC-B2E9-4EFF-A557-945A99660AB5}">
      <text>
        <r>
          <rPr>
            <b/>
            <sz val="10"/>
            <color rgb="FF000000"/>
            <rFont val="Verdana"/>
            <family val="2"/>
          </rPr>
          <t>You can select a different country to view its breakdown.</t>
        </r>
      </text>
    </comment>
    <comment ref="G105" authorId="0" shapeId="0" xr:uid="{993374AF-D668-41B9-AD9F-12087372E987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L105" authorId="0" shapeId="0" xr:uid="{DBDA939E-4AED-4AF6-9D0B-E785A65FCB53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Q105" authorId="0" shapeId="0" xr:uid="{FDC6991A-49EC-437C-845A-5593293CF58F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V105" authorId="0" shapeId="0" xr:uid="{C2500E31-BEE1-4198-91FF-5D24A6BD0E48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G169" authorId="0" shapeId="0" xr:uid="{FEA1964E-3777-48E5-8A71-5EF5278E253C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L169" authorId="0" shapeId="0" xr:uid="{1B147A40-40D3-490F-A4FD-9909AA9F8F72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Q169" authorId="0" shapeId="0" xr:uid="{1FEF73A5-BDDF-4D10-8C44-E88978E14C5E}">
      <text>
        <r>
          <rPr>
            <b/>
            <sz val="10"/>
            <color indexed="81"/>
            <rFont val="Verdana"/>
            <family val="2"/>
          </rPr>
          <t>You can select a different country to view its breakdown.</t>
        </r>
      </text>
    </comment>
    <comment ref="V169" authorId="0" shapeId="0" xr:uid="{5432CBEC-3E09-4E31-9914-2BCB91AF1A66}">
      <text>
        <r>
          <rPr>
            <b/>
            <sz val="10"/>
            <color rgb="FF000000"/>
            <rFont val="Verdana"/>
            <family val="2"/>
          </rPr>
          <t>You can select a different country to view its breakdown.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Ng</author>
  </authors>
  <commentList>
    <comment ref="D4" authorId="0" shapeId="0" xr:uid="{90A7BAB0-4975-42DA-9129-A71CEF1DCB8F}">
      <text>
        <r>
          <rPr>
            <b/>
            <sz val="10"/>
            <color indexed="81"/>
            <rFont val="Verdana"/>
            <family val="2"/>
          </rPr>
          <t>Add in your cash balance here.</t>
        </r>
      </text>
    </comment>
    <comment ref="V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Green</t>
        </r>
        <r>
          <rPr>
            <sz val="9"/>
            <color indexed="81"/>
            <rFont val="Tahoma"/>
            <family val="2"/>
          </rPr>
          <t xml:space="preserve"> = % allocation &lt; 50% of planned allocation.
</t>
        </r>
        <r>
          <rPr>
            <b/>
            <sz val="9"/>
            <color indexed="81"/>
            <rFont val="Tahoma"/>
            <family val="2"/>
          </rPr>
          <t>Red</t>
        </r>
        <r>
          <rPr>
            <sz val="9"/>
            <color indexed="81"/>
            <rFont val="Tahoma"/>
            <family val="2"/>
          </rPr>
          <t xml:space="preserve"> = % allocation &gt; 100% of planned allocation.
</t>
        </r>
      </text>
    </comment>
    <comment ref="X9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&lt; 0%</t>
        </r>
        <r>
          <rPr>
            <sz val="9"/>
            <color indexed="81"/>
            <rFont val="Tahoma"/>
            <family val="2"/>
          </rPr>
          <t xml:space="preserve"> = Undervalued
</t>
        </r>
        <r>
          <rPr>
            <b/>
            <sz val="9"/>
            <color indexed="81"/>
            <rFont val="Tahoma"/>
            <family val="2"/>
          </rPr>
          <t>&gt; 0%</t>
        </r>
        <r>
          <rPr>
            <sz val="9"/>
            <color indexed="81"/>
            <rFont val="Tahoma"/>
            <family val="2"/>
          </rPr>
          <t xml:space="preserve"> = Overvalued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<sst xmlns="http://schemas.openxmlformats.org/spreadsheetml/2006/main" count="678" uniqueCount="308">
  <si>
    <t>KEY IN THE VALUES IN THE WHITE BOXES</t>
  </si>
  <si>
    <t>less Debt per Share</t>
  </si>
  <si>
    <t>Plus (+) Cash Per Share</t>
  </si>
  <si>
    <t>Currency</t>
  </si>
  <si>
    <t>Currency Data</t>
  </si>
  <si>
    <t>CURRENCY</t>
  </si>
  <si>
    <t>SYMBOL</t>
  </si>
  <si>
    <t>Singapore Dollar</t>
  </si>
  <si>
    <t>US Dollar</t>
  </si>
  <si>
    <t>Malaysian Ringgit</t>
  </si>
  <si>
    <t>SGD$</t>
  </si>
  <si>
    <t>USD$</t>
  </si>
  <si>
    <t>HKD$</t>
  </si>
  <si>
    <t>RMB$</t>
  </si>
  <si>
    <t>Year</t>
  </si>
  <si>
    <t>EPS (current)</t>
  </si>
  <si>
    <t>Discount Factor</t>
  </si>
  <si>
    <t>Discounted Value</t>
  </si>
  <si>
    <t>EPS (Projected)</t>
  </si>
  <si>
    <t>Note: This assumes EPS growth rate remains constant throughout the 10 years</t>
  </si>
  <si>
    <t>In certain cases, you may want to lower or increase the growth rate after a few years.</t>
  </si>
  <si>
    <t>Cash flow growth rate</t>
  </si>
  <si>
    <t>PV of 10 yr Cash flows</t>
  </si>
  <si>
    <t>No. Shares Outstanding</t>
  </si>
  <si>
    <t>Intrinsic Value per share</t>
  </si>
  <si>
    <t>(Be consistent with the denominations used. Usually Millions $)</t>
  </si>
  <si>
    <t>( Be consisent with the denominations used. Usually $)</t>
  </si>
  <si>
    <t xml:space="preserve">EPS growth rate </t>
  </si>
  <si>
    <t>Note: This assumes Cash growth rate remains constant throughout the 10 years</t>
  </si>
  <si>
    <t>KEY IN THE VALUES IN RED</t>
  </si>
  <si>
    <t>Operating Cash Flow (current)</t>
  </si>
  <si>
    <t>million</t>
  </si>
  <si>
    <t>Assuming a Discount rate of 4% per year.</t>
  </si>
  <si>
    <t>Intrinsic Value Calculator (Discounted Cash Flow Method 10 years)</t>
  </si>
  <si>
    <t>Intrinsic Value Calculator (Discounted Earnings Per Share Method 10 years)</t>
  </si>
  <si>
    <t>Cash Flow (Projected)</t>
  </si>
  <si>
    <t>Current Year</t>
  </si>
  <si>
    <t>Name of Stock</t>
  </si>
  <si>
    <t>Stock Symbol</t>
  </si>
  <si>
    <t>Discount Rate</t>
  </si>
  <si>
    <t>Intrinsic Value:</t>
  </si>
  <si>
    <t>No. of Shares Outstanding</t>
  </si>
  <si>
    <t>NB: Take the last Fiscal Year as the Current Year</t>
  </si>
  <si>
    <t>Total Debt (Short Term + LT Debt)</t>
  </si>
  <si>
    <t>Cash and Short Term Investments</t>
  </si>
  <si>
    <t>IDR$</t>
  </si>
  <si>
    <t>Quantity</t>
  </si>
  <si>
    <t>Predictable</t>
  </si>
  <si>
    <t>ETF</t>
  </si>
  <si>
    <t>Type</t>
  </si>
  <si>
    <t>Cyclical</t>
  </si>
  <si>
    <t>Technology</t>
  </si>
  <si>
    <t>Financials</t>
  </si>
  <si>
    <t>TOTAL</t>
  </si>
  <si>
    <t>Discount/Premium</t>
  </si>
  <si>
    <t>Last Close</t>
  </si>
  <si>
    <t>Singapore</t>
  </si>
  <si>
    <t>US</t>
  </si>
  <si>
    <t>Percentage by Market Value</t>
  </si>
  <si>
    <t>Market Value (in USD)</t>
  </si>
  <si>
    <t>Count</t>
  </si>
  <si>
    <t>Country</t>
  </si>
  <si>
    <t>Geographical Breakdown</t>
  </si>
  <si>
    <t>Speculative</t>
  </si>
  <si>
    <t>Other</t>
  </si>
  <si>
    <t>Growth</t>
  </si>
  <si>
    <t>Deep Value</t>
  </si>
  <si>
    <t>Cash Cow</t>
  </si>
  <si>
    <t>Category</t>
  </si>
  <si>
    <t>Breakdown by Category (Market Value)</t>
  </si>
  <si>
    <t>Moderate Cyclical</t>
  </si>
  <si>
    <t>Defensive</t>
  </si>
  <si>
    <t>Breakdown by Type (Market Value)</t>
  </si>
  <si>
    <t>Breakdown by Holdings (Market Value)</t>
  </si>
  <si>
    <t>SGD</t>
  </si>
  <si>
    <t>Real Estate</t>
  </si>
  <si>
    <t>USD</t>
  </si>
  <si>
    <t>% Change
(includes Dividend)</t>
  </si>
  <si>
    <t>Total Dividend Received
(% of Total Cost)</t>
  </si>
  <si>
    <t>Total Dividend Received
(in USD)</t>
  </si>
  <si>
    <t>% Change
(excludes Dividend)</t>
  </si>
  <si>
    <t>% of Portfolio
(by Market Value)</t>
  </si>
  <si>
    <t>Market Value
(in USD)</t>
  </si>
  <si>
    <t>Current Price
(in USD)</t>
  </si>
  <si>
    <t>Discount / Premium</t>
  </si>
  <si>
    <t>Intrinsic Value
(in USD)</t>
  </si>
  <si>
    <t>% Allocated</t>
  </si>
  <si>
    <t>Planned Allocation
(in USD)</t>
  </si>
  <si>
    <t>Total Cost
(in USD)</t>
  </si>
  <si>
    <t>Current  Price
(in Listed Currency)</t>
  </si>
  <si>
    <t>Total Dividend Received
(in Listed Currency)</t>
  </si>
  <si>
    <t>Intrinsic Value
(in Listed Currency)</t>
  </si>
  <si>
    <t>Valuation Date</t>
  </si>
  <si>
    <t>Planned Allocation
(in Listed Currency)</t>
  </si>
  <si>
    <t>Exchange Rate 
(1 USD to xxx Listed Currency)</t>
  </si>
  <si>
    <t>Listed
Currency</t>
  </si>
  <si>
    <t>Sector</t>
  </si>
  <si>
    <t>Name</t>
  </si>
  <si>
    <t>Ticker</t>
  </si>
  <si>
    <t>#</t>
  </si>
  <si>
    <t>Price</t>
  </si>
  <si>
    <t>Dividend</t>
  </si>
  <si>
    <t>Valuation</t>
  </si>
  <si>
    <t>Cost</t>
  </si>
  <si>
    <t>Allocation</t>
  </si>
  <si>
    <t>Stock Information</t>
  </si>
  <si>
    <t>Market Value</t>
  </si>
  <si>
    <t>Allocation in USD</t>
  </si>
  <si>
    <t>Cost in USD</t>
  </si>
  <si>
    <t>Net Liquidation</t>
  </si>
  <si>
    <t>Equity Position</t>
  </si>
  <si>
    <t>Cash USD</t>
  </si>
  <si>
    <t>Utilities</t>
  </si>
  <si>
    <t>Materials</t>
  </si>
  <si>
    <t>Industrials</t>
  </si>
  <si>
    <t>Health Care</t>
  </si>
  <si>
    <t>Energy</t>
  </si>
  <si>
    <t>Consumer Staples</t>
  </si>
  <si>
    <t>Consumer Discretionary</t>
  </si>
  <si>
    <t>Communication Services</t>
  </si>
  <si>
    <t>NOTE: You can expand the DATA VALIDATION for each category by adding a new row to the category!</t>
  </si>
  <si>
    <t>Discount Rate for US Stocks</t>
  </si>
  <si>
    <t>Discount Rate for China/HK Stocks</t>
  </si>
  <si>
    <t>Discount Rate = Risk Free Rate + Beta x Market Risk Premium</t>
  </si>
  <si>
    <t>Average market risk premium =</t>
  </si>
  <si>
    <t>Source:</t>
  </si>
  <si>
    <t>http://www.market-risk-premia.com/hk.html</t>
  </si>
  <si>
    <t>(Discount)/Premium</t>
  </si>
  <si>
    <t>Risk Free Rate =</t>
  </si>
  <si>
    <t>Operating Cash Flow (Current)</t>
  </si>
  <si>
    <t>Net Income (Current)</t>
  </si>
  <si>
    <t>Intrinsic Value before cash/debt</t>
  </si>
  <si>
    <t>Net Income (Projected)</t>
  </si>
  <si>
    <t>Operating Cash Flow (Projected)</t>
  </si>
  <si>
    <t>Discounted Cash Flow Method</t>
  </si>
  <si>
    <t>Discounted Net Income Method</t>
  </si>
  <si>
    <t>Net Income</t>
  </si>
  <si>
    <t>Cash Flow Growth Rate (Yr 1 - 5)</t>
  </si>
  <si>
    <t>Cash Flow Growth Rate (Yr 6 - 10)</t>
  </si>
  <si>
    <t>Net Income Growth Rate (Yr 1 - 5)</t>
  </si>
  <si>
    <t>Net Income Growth Rate (Yr 6 - 10)</t>
  </si>
  <si>
    <t>Free Cash Flow (Current)</t>
  </si>
  <si>
    <t>Free Cash Flow</t>
  </si>
  <si>
    <t>Free Cash Flow Growth Rate (Yr 1 - 5)</t>
  </si>
  <si>
    <t>Free Cash Flow growth rate (Yr 6 - 10)</t>
  </si>
  <si>
    <t>Free Cash Flow (Projected)</t>
  </si>
  <si>
    <t>Discounted Free Cash Flow Method</t>
  </si>
  <si>
    <t>BETA</t>
    <phoneticPr fontId="4" type="noConversion"/>
  </si>
  <si>
    <t>DISCOUNT RATE</t>
    <phoneticPr fontId="4" type="noConversion"/>
  </si>
  <si>
    <t>Less than 0.80</t>
    <phoneticPr fontId="4" type="noConversion"/>
  </si>
  <si>
    <t>More than 1.6</t>
    <phoneticPr fontId="4" type="noConversion"/>
  </si>
  <si>
    <t>Australian Dollar</t>
  </si>
  <si>
    <t>AUD$</t>
  </si>
  <si>
    <t>GBP$</t>
  </si>
  <si>
    <t>Cash Flow Growth Rate (Yr 11 - 20)</t>
  </si>
  <si>
    <t>Net Income Growth Rate (Yr 11 - 20)</t>
  </si>
  <si>
    <t>Free Cash Flow Growth Rate (Yr 11 - 20)</t>
  </si>
  <si>
    <t>British Pound Sterling</t>
  </si>
  <si>
    <t>Chinese Ren Min Bi</t>
  </si>
  <si>
    <t>Euro Dollar</t>
  </si>
  <si>
    <t>EUR$</t>
  </si>
  <si>
    <t>Hong Kong Dollar</t>
  </si>
  <si>
    <t>Indonesian Rupiah</t>
  </si>
  <si>
    <t>0700</t>
  </si>
  <si>
    <t>Financial Statement Currency</t>
  </si>
  <si>
    <t>Exchange Rate</t>
  </si>
  <si>
    <t>Valuation Method</t>
  </si>
  <si>
    <t>Discounted Net Income</t>
  </si>
  <si>
    <t>Discounted Cash Flow</t>
  </si>
  <si>
    <t>Discounted Free Cash Flow</t>
  </si>
  <si>
    <t>Stock Listing Currency</t>
  </si>
  <si>
    <t>Operating Cash Flow</t>
  </si>
  <si>
    <t>Canadian Dollar</t>
  </si>
  <si>
    <t>CAD$</t>
  </si>
  <si>
    <t>New Taiwan Dollar</t>
  </si>
  <si>
    <t>Japanese Yen</t>
  </si>
  <si>
    <t>JPY$</t>
  </si>
  <si>
    <t>South Korean Won</t>
  </si>
  <si>
    <t>KRW$</t>
  </si>
  <si>
    <t>Indian Rupee</t>
  </si>
  <si>
    <t>INR$</t>
  </si>
  <si>
    <t>Swiss Franc</t>
  </si>
  <si>
    <t>CHF$</t>
  </si>
  <si>
    <t>Russian Ruble</t>
  </si>
  <si>
    <t>RUB$</t>
  </si>
  <si>
    <t>Canada</t>
  </si>
  <si>
    <t>India</t>
  </si>
  <si>
    <t>Planned Allocation
(in %)</t>
  </si>
  <si>
    <t>NOTE: DO NOT MODIFY BELOW, THIS IS AUTO-CALCULATED</t>
  </si>
  <si>
    <t xml:space="preserve">   </t>
  </si>
  <si>
    <t>Breakdown by Sector (Market Value)</t>
  </si>
  <si>
    <t>China/HK</t>
  </si>
  <si>
    <t>Europe</t>
  </si>
  <si>
    <t>NOTE: EVERYTHING IN THIS PAGE IS CALCULATED AUTOMATICALLY</t>
  </si>
  <si>
    <t>Diversified</t>
  </si>
  <si>
    <t>PORTFOLIO MANAGER</t>
  </si>
  <si>
    <t>Swedish Krona</t>
  </si>
  <si>
    <t>SEK$</t>
  </si>
  <si>
    <t>Israeli Shekel</t>
  </si>
  <si>
    <t>ILS$</t>
  </si>
  <si>
    <t>Hungarian Forint</t>
  </si>
  <si>
    <t>HUF$</t>
  </si>
  <si>
    <t>Polish Zloty</t>
  </si>
  <si>
    <t>PLN$</t>
  </si>
  <si>
    <t>Norwegian Krone</t>
  </si>
  <si>
    <t>NOK$</t>
  </si>
  <si>
    <t>PORTFOLIO DASHBOARD</t>
  </si>
  <si>
    <t>CLOSED POSITION</t>
  </si>
  <si>
    <t>Closed Price
(in Listed Currency)</t>
  </si>
  <si>
    <t>Closed Price
(in USD)</t>
  </si>
  <si>
    <t>Avg Cost per Share
(in USD)</t>
  </si>
  <si>
    <t>Avg Cost per Share
(in Listed Currency)</t>
  </si>
  <si>
    <t>Total Profit &amp; Loss</t>
  </si>
  <si>
    <t>Profit &amp; Loss</t>
  </si>
  <si>
    <t>C38U</t>
  </si>
  <si>
    <t>CapitaLand Integrated Commercial Trust</t>
  </si>
  <si>
    <t>CME</t>
  </si>
  <si>
    <t>CME Group Inc</t>
  </si>
  <si>
    <t>ADBE</t>
  </si>
  <si>
    <t>Adobe</t>
  </si>
  <si>
    <t>Tencent Holdings</t>
  </si>
  <si>
    <t>HKD</t>
  </si>
  <si>
    <t>VEEV</t>
  </si>
  <si>
    <t>Veeva Systems</t>
  </si>
  <si>
    <t>GOOGL</t>
  </si>
  <si>
    <t>Alphabet</t>
  </si>
  <si>
    <t>9618</t>
  </si>
  <si>
    <t>JD.com</t>
  </si>
  <si>
    <t>Deep Cyclical</t>
  </si>
  <si>
    <t>ASHR</t>
  </si>
  <si>
    <t>CSI 300 China A-Shares</t>
  </si>
  <si>
    <t>NA</t>
  </si>
  <si>
    <t>MCD</t>
  </si>
  <si>
    <t>McDonald's</t>
  </si>
  <si>
    <t>% Total Profit and Loss</t>
  </si>
  <si>
    <t>CWCU</t>
  </si>
  <si>
    <t>Cromwell European REIT</t>
  </si>
  <si>
    <t>Closed Value
(in USD)</t>
  </si>
  <si>
    <t>Japan</t>
  </si>
  <si>
    <t>South Korea</t>
  </si>
  <si>
    <t>This sheet contains information that's used in the VMI Portfolio Manager and VMI Closed Position.</t>
  </si>
  <si>
    <t>Updated on</t>
  </si>
  <si>
    <t>Turnaround</t>
  </si>
  <si>
    <t>Danish Krone</t>
  </si>
  <si>
    <t>DKK$</t>
  </si>
  <si>
    <t>Saudi Riyal</t>
  </si>
  <si>
    <t>Vietnamese Dong</t>
  </si>
  <si>
    <t>TWD$</t>
  </si>
  <si>
    <t>SAR$</t>
  </si>
  <si>
    <t>Philippine Peso</t>
  </si>
  <si>
    <t>PHP$</t>
  </si>
  <si>
    <t>New Zealand Dollar</t>
  </si>
  <si>
    <t>NZD$</t>
  </si>
  <si>
    <t>Korean Won</t>
  </si>
  <si>
    <t>VND$</t>
  </si>
  <si>
    <t>MYR$</t>
  </si>
  <si>
    <t>Sri Lanka Rupee</t>
  </si>
  <si>
    <t>LKR$</t>
  </si>
  <si>
    <t>UAE Dirham</t>
  </si>
  <si>
    <t>AED$</t>
  </si>
  <si>
    <t>https://www.market-risk-premia.com/us.html</t>
  </si>
  <si>
    <t>Korea</t>
  </si>
  <si>
    <t>Australia</t>
  </si>
  <si>
    <t>Malaysia</t>
  </si>
  <si>
    <t>Historical Price to Book Ratio</t>
  </si>
  <si>
    <t>Mean Price to Book Ratio</t>
  </si>
  <si>
    <t>Mean</t>
  </si>
  <si>
    <t>Date</t>
  </si>
  <si>
    <t>PB Ratio</t>
  </si>
  <si>
    <t>1 Standard Deviation (SD) Value</t>
  </si>
  <si>
    <t>Intrinsic Value Calculator (Price to Sales Growth Ratio)</t>
  </si>
  <si>
    <t>Sales Per Share</t>
  </si>
  <si>
    <t>Current Price to Sales Growth (PSG) Ratio</t>
  </si>
  <si>
    <t>Fair PSG Ratio</t>
  </si>
  <si>
    <t>KEY IN NEW CURRENCIES IN THE WHITE BOXES</t>
  </si>
  <si>
    <t>Palantir</t>
  </si>
  <si>
    <t>PLTR</t>
  </si>
  <si>
    <t>JPMorgan Chase &amp; Co</t>
  </si>
  <si>
    <t>JPM</t>
  </si>
  <si>
    <t>Book Value (BV) per Share</t>
  </si>
  <si>
    <r>
      <t xml:space="preserve">PB Ratio x BV per Share
</t>
    </r>
    <r>
      <rPr>
        <b/>
        <sz val="8"/>
        <color rgb="FFFFFFFF"/>
        <rFont val="Arial"/>
        <family val="2"/>
      </rPr>
      <t>(In Financial Statement Currency)</t>
    </r>
  </si>
  <si>
    <r>
      <t xml:space="preserve">Intrinsic Value Per Share
</t>
    </r>
    <r>
      <rPr>
        <b/>
        <i/>
        <sz val="8"/>
        <color rgb="FFFFFFFF"/>
        <rFont val="Arial"/>
        <family val="2"/>
      </rPr>
      <t>(In Financial Statement Currency)</t>
    </r>
  </si>
  <si>
    <r>
      <t xml:space="preserve">Final Intrinsic Value Per Share
</t>
    </r>
    <r>
      <rPr>
        <b/>
        <i/>
        <sz val="8"/>
        <color rgb="FFFFFFFF"/>
        <rFont val="Arial"/>
        <family val="2"/>
      </rPr>
      <t>(In Stock Listing Currency)</t>
    </r>
  </si>
  <si>
    <r>
      <t xml:space="preserve">PB Ratio x BV per Share
</t>
    </r>
    <r>
      <rPr>
        <b/>
        <sz val="8"/>
        <color rgb="FFFFFFFF"/>
        <rFont val="Arial"/>
        <family val="2"/>
      </rPr>
      <t>(In Stock Listing Currency)</t>
    </r>
  </si>
  <si>
    <t>Intrinsic Value (IV)</t>
  </si>
  <si>
    <t>Mean - 1 SD</t>
  </si>
  <si>
    <t>Mean - 2 SD</t>
  </si>
  <si>
    <t>Mean + 1 SD</t>
  </si>
  <si>
    <t>Mean + 2 SD</t>
  </si>
  <si>
    <t>IV + 2 SD</t>
  </si>
  <si>
    <t>IV + 1 SD</t>
  </si>
  <si>
    <t>IV - 1 SD</t>
  </si>
  <si>
    <t>IV - 2 SD</t>
  </si>
  <si>
    <t>Intrinsic Value Calculator (Mean Price to Book Ratio / Mean PB Ratio)</t>
  </si>
  <si>
    <t>Projected Growth Rate</t>
  </si>
  <si>
    <t>Number of Historical Data</t>
  </si>
  <si>
    <t>5 years</t>
  </si>
  <si>
    <t>Value</t>
  </si>
  <si>
    <t>Microsoft</t>
  </si>
  <si>
    <t>MSFT</t>
  </si>
  <si>
    <t>China/HK Stocks</t>
  </si>
  <si>
    <t>Updated on:</t>
  </si>
  <si>
    <t>https://www.market-risk-premia.com/hk.html</t>
  </si>
  <si>
    <t>Discount Rate Breakdown</t>
  </si>
  <si>
    <t>Rf Average</t>
  </si>
  <si>
    <t>Risk Free Rate (Rf)</t>
  </si>
  <si>
    <t>Market Risk Premium (MRP)</t>
  </si>
  <si>
    <t>MRP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</si>
</sst>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&quot;$&quot;#,##0.00"/>
    <numFmt numFmtId="166" formatCode="&quot;$&quot;#,##0"/>
    <numFmt numFmtId="167" formatCode="#,##0.0_ &quot;millions&quot;;[Red]\(#,##0.0\ &quot;millions&quot;\)"/>
    <numFmt numFmtId="168" formatCode="0.0%"/>
    <numFmt numFmtId="169" formatCode="&quot;SGD&quot;&quot;$&quot;#,##0.00\ &quot;millions&quot;"/>
    <numFmt numFmtId="170" formatCode="#,##0.00\ &quot;millions&quot;"/>
    <numFmt numFmtId="171" formatCode="[$-409]dd\ mmm\ yy;@"/>
    <numFmt numFmtId="172" formatCode="0.0000"/>
    <numFmt numFmtId="173" formatCode="[$-409]d\ mmm\ yy;@"/>
    <numFmt numFmtId="174" formatCode="0.000%"/>
    <numFmt numFmtId="175" formatCode="[$-409]d\ mmm\ yyyy;@"/>
    <numFmt numFmtId="176" formatCode="d\ mmm\ yyyy"/>
    <numFmt numFmtId="177" formatCode="0.000"/>
    <numFmt numFmtId="178" formatCode="dd\ mmm\ yy"/>
    <numFmt numFmtId="179" formatCode="dd\ mmm\ yyyy"/>
  </numFmts>
  <fonts count="79" x14ac:knownFonts="1">
    <font>
      <sz val="10"/>
      <name val="Verdana"/>
    </font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2"/>
      <color indexed="10"/>
      <name val="Verdana"/>
      <family val="2"/>
    </font>
    <font>
      <b/>
      <sz val="12"/>
      <color indexed="9"/>
      <name val="Verdana"/>
      <family val="2"/>
    </font>
    <font>
      <sz val="8"/>
      <name val="Verdana"/>
      <family val="2"/>
    </font>
    <font>
      <b/>
      <sz val="12"/>
      <color indexed="53"/>
      <name val="Verdana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b/>
      <sz val="12"/>
      <name val="Verdana"/>
      <family val="2"/>
    </font>
    <font>
      <sz val="10"/>
      <color indexed="9"/>
      <name val="Verdana"/>
      <family val="2"/>
    </font>
    <font>
      <b/>
      <sz val="18"/>
      <color indexed="10"/>
      <name val="Verdana"/>
      <family val="2"/>
    </font>
    <font>
      <sz val="10"/>
      <name val="Verdana"/>
      <family val="2"/>
    </font>
    <font>
      <b/>
      <sz val="20"/>
      <color indexed="10"/>
      <name val="Verdana"/>
      <family val="2"/>
    </font>
    <font>
      <sz val="12"/>
      <name val="Verdana"/>
      <family val="2"/>
    </font>
    <font>
      <sz val="12"/>
      <color indexed="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10"/>
      <color indexed="81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indexed="9"/>
      <name val="Arial"/>
      <family val="2"/>
    </font>
    <font>
      <b/>
      <sz val="11"/>
      <color indexed="13"/>
      <name val="Arial"/>
      <family val="2"/>
    </font>
    <font>
      <b/>
      <sz val="16"/>
      <color indexed="10"/>
      <name val="Helvetica"/>
      <family val="2"/>
    </font>
    <font>
      <b/>
      <sz val="14"/>
      <color indexed="10"/>
      <name val="Helvetica"/>
      <family val="2"/>
    </font>
    <font>
      <b/>
      <sz val="10"/>
      <name val="Helvetica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</font>
    <font>
      <b/>
      <sz val="2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"/>
      <color theme="0"/>
      <name val="Verdana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Verdana"/>
      <family val="2"/>
    </font>
    <font>
      <b/>
      <i/>
      <sz val="8"/>
      <color rgb="FFFFFFFF"/>
      <name val="Arial"/>
      <family val="2"/>
    </font>
    <font>
      <b/>
      <sz val="10"/>
      <color theme="0"/>
      <name val="Verdana"/>
      <family val="2"/>
    </font>
    <font>
      <b/>
      <sz val="18"/>
      <color rgb="FFFF0000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sz val="11"/>
      <color theme="0"/>
      <name val="Verdana"/>
      <family val="2"/>
    </font>
    <font>
      <b/>
      <sz val="20"/>
      <color rgb="FFFF0000"/>
      <name val="Arial"/>
      <family val="2"/>
    </font>
    <font>
      <b/>
      <sz val="20"/>
      <color rgb="FFFFFFFF"/>
      <name val="Arial"/>
      <family val="2"/>
    </font>
    <font>
      <b/>
      <sz val="11"/>
      <color indexed="9"/>
      <name val="Arial"/>
      <family val="2"/>
    </font>
    <font>
      <b/>
      <sz val="10"/>
      <color rgb="FF000000"/>
      <name val="Verdana"/>
      <family val="34"/>
    </font>
    <font>
      <sz val="10"/>
      <color rgb="FF000000"/>
      <name val="Verdana"/>
      <family val="34"/>
    </font>
    <font>
      <b/>
      <sz val="16"/>
      <color rgb="FFDD0806"/>
      <name val="Helvetica"/>
      <family val="2"/>
    </font>
    <font>
      <b/>
      <sz val="14"/>
      <color theme="0"/>
      <name val="Arial"/>
      <family val="2"/>
    </font>
    <font>
      <b/>
      <sz val="8"/>
      <color rgb="FFFFFFFF"/>
      <name val="Arial"/>
      <family val="2"/>
    </font>
    <font>
      <b/>
      <sz val="12"/>
      <color rgb="FF000000"/>
      <name val="Verdan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ECE1"/>
        <bgColor rgb="FF000000"/>
      </patternFill>
    </fill>
    <fill>
      <patternFill patternType="solid">
        <fgColor rgb="FFEFECE1"/>
        <bgColor indexed="64"/>
      </patternFill>
    </fill>
    <fill>
      <patternFill patternType="solid">
        <fgColor rgb="FFA8A8A8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6">
    <xf numFmtId="0" fontId="0" fillId="0" borderId="0"/>
    <xf numFmtId="9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0"/>
  </cellStyleXfs>
  <cellXfs count="558">
    <xf numFmtId="0" fontId="0" fillId="0" borderId="0" xfId="0"/>
    <xf numFmtId="10" fontId="3" fillId="2" borderId="1" xfId="0" applyNumberFormat="1" applyFont="1" applyFill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5" fontId="6" fillId="2" borderId="2" xfId="0" applyNumberFormat="1" applyFont="1" applyFill="1" applyBorder="1" applyAlignment="1">
      <alignment horizontal="center"/>
    </xf>
    <xf numFmtId="10" fontId="6" fillId="2" borderId="2" xfId="0" applyNumberFormat="1" applyFont="1" applyFill="1" applyBorder="1" applyAlignment="1">
      <alignment horizontal="center"/>
    </xf>
    <xf numFmtId="165" fontId="6" fillId="2" borderId="3" xfId="0" applyNumberFormat="1" applyFont="1" applyFill="1" applyBorder="1" applyAlignment="1">
      <alignment horizontal="center"/>
    </xf>
    <xf numFmtId="10" fontId="6" fillId="2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4" fillId="4" borderId="3" xfId="0" applyFont="1" applyFill="1" applyBorder="1" applyAlignment="1">
      <alignment horizontal="center"/>
    </xf>
    <xf numFmtId="0" fontId="10" fillId="0" borderId="0" xfId="0" applyFont="1"/>
    <xf numFmtId="0" fontId="9" fillId="3" borderId="3" xfId="0" applyFont="1" applyFill="1" applyBorder="1"/>
    <xf numFmtId="0" fontId="14" fillId="3" borderId="3" xfId="0" applyFont="1" applyFill="1" applyBorder="1" applyAlignment="1">
      <alignment horizontal="center"/>
    </xf>
    <xf numFmtId="0" fontId="13" fillId="0" borderId="0" xfId="0" applyFont="1"/>
    <xf numFmtId="0" fontId="9" fillId="2" borderId="3" xfId="0" applyFont="1" applyFill="1" applyBorder="1"/>
    <xf numFmtId="165" fontId="14" fillId="3" borderId="3" xfId="0" applyNumberFormat="1" applyFont="1" applyFill="1" applyBorder="1" applyAlignment="1">
      <alignment horizontal="center"/>
    </xf>
    <xf numFmtId="0" fontId="9" fillId="5" borderId="3" xfId="0" applyFont="1" applyFill="1" applyBorder="1"/>
    <xf numFmtId="2" fontId="14" fillId="5" borderId="3" xfId="0" applyNumberFormat="1" applyFont="1" applyFill="1" applyBorder="1" applyAlignment="1">
      <alignment horizontal="center"/>
    </xf>
    <xf numFmtId="0" fontId="4" fillId="6" borderId="3" xfId="0" applyFont="1" applyFill="1" applyBorder="1"/>
    <xf numFmtId="165" fontId="15" fillId="6" borderId="3" xfId="0" applyNumberFormat="1" applyFont="1" applyFill="1" applyBorder="1" applyAlignment="1">
      <alignment horizontal="center"/>
    </xf>
    <xf numFmtId="0" fontId="9" fillId="0" borderId="0" xfId="0" applyFont="1"/>
    <xf numFmtId="0" fontId="14" fillId="7" borderId="4" xfId="0" applyFont="1" applyFill="1" applyBorder="1"/>
    <xf numFmtId="0" fontId="12" fillId="7" borderId="5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4" fillId="7" borderId="7" xfId="0" applyFont="1" applyFill="1" applyBorder="1"/>
    <xf numFmtId="0" fontId="12" fillId="7" borderId="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165" fontId="8" fillId="9" borderId="3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left"/>
    </xf>
    <xf numFmtId="0" fontId="4" fillId="10" borderId="11" xfId="0" applyFont="1" applyFill="1" applyBorder="1" applyAlignment="1">
      <alignment horizontal="left" vertical="center"/>
    </xf>
    <xf numFmtId="166" fontId="4" fillId="10" borderId="12" xfId="0" applyNumberFormat="1" applyFont="1" applyFill="1" applyBorder="1" applyAlignment="1">
      <alignment horizontal="right" vertical="center"/>
    </xf>
    <xf numFmtId="0" fontId="9" fillId="11" borderId="3" xfId="0" applyFont="1" applyFill="1" applyBorder="1" applyAlignment="1">
      <alignment vertical="center"/>
    </xf>
    <xf numFmtId="165" fontId="14" fillId="11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3" borderId="3" xfId="0" applyFont="1" applyFill="1" applyBorder="1" applyAlignment="1">
      <alignment vertical="center"/>
    </xf>
    <xf numFmtId="2" fontId="14" fillId="3" borderId="3" xfId="0" applyNumberFormat="1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vertical="center"/>
    </xf>
    <xf numFmtId="165" fontId="15" fillId="12" borderId="3" xfId="0" applyNumberFormat="1" applyFont="1" applyFill="1" applyBorder="1" applyAlignment="1">
      <alignment horizontal="center" vertical="center"/>
    </xf>
    <xf numFmtId="168" fontId="0" fillId="14" borderId="0" xfId="32" applyNumberFormat="1" applyFont="1" applyFill="1"/>
    <xf numFmtId="0" fontId="22" fillId="0" borderId="0" xfId="31" applyFont="1" applyAlignment="1">
      <alignment horizontal="center" vertical="center"/>
    </xf>
    <xf numFmtId="168" fontId="23" fillId="0" borderId="0" xfId="32" applyNumberFormat="1" applyFont="1" applyFill="1" applyAlignment="1">
      <alignment horizontal="center" vertical="center"/>
    </xf>
    <xf numFmtId="44" fontId="23" fillId="0" borderId="0" xfId="33" applyFont="1" applyFill="1" applyAlignment="1">
      <alignment horizontal="center" vertical="center"/>
    </xf>
    <xf numFmtId="0" fontId="23" fillId="0" borderId="0" xfId="31" applyFont="1" applyAlignment="1">
      <alignment horizontal="center" vertical="center"/>
    </xf>
    <xf numFmtId="0" fontId="31" fillId="0" borderId="0" xfId="31" applyFont="1" applyAlignment="1">
      <alignment horizontal="center" vertical="center"/>
    </xf>
    <xf numFmtId="0" fontId="24" fillId="14" borderId="0" xfId="31" applyFont="1" applyFill="1"/>
    <xf numFmtId="0" fontId="22" fillId="14" borderId="0" xfId="31" applyFont="1" applyFill="1"/>
    <xf numFmtId="9" fontId="31" fillId="14" borderId="0" xfId="32" applyFont="1" applyFill="1" applyAlignment="1">
      <alignment horizontal="center"/>
    </xf>
    <xf numFmtId="165" fontId="23" fillId="14" borderId="0" xfId="31" applyNumberFormat="1" applyFont="1" applyFill="1"/>
    <xf numFmtId="44" fontId="0" fillId="14" borderId="0" xfId="33" applyFont="1" applyFill="1"/>
    <xf numFmtId="10" fontId="23" fillId="14" borderId="0" xfId="31" applyNumberFormat="1" applyFont="1" applyFill="1"/>
    <xf numFmtId="0" fontId="32" fillId="14" borderId="0" xfId="31" applyFont="1" applyFill="1"/>
    <xf numFmtId="9" fontId="33" fillId="14" borderId="0" xfId="32" applyFont="1" applyFill="1" applyAlignment="1">
      <alignment horizontal="center"/>
    </xf>
    <xf numFmtId="44" fontId="32" fillId="14" borderId="0" xfId="33" applyFont="1" applyFill="1"/>
    <xf numFmtId="168" fontId="32" fillId="14" borderId="0" xfId="32" applyNumberFormat="1" applyFont="1" applyFill="1"/>
    <xf numFmtId="0" fontId="31" fillId="0" borderId="0" xfId="31" applyFont="1" applyAlignment="1">
      <alignment horizontal="center" vertical="center" wrapText="1"/>
    </xf>
    <xf numFmtId="0" fontId="35" fillId="14" borderId="0" xfId="31" applyFont="1" applyFill="1"/>
    <xf numFmtId="0" fontId="30" fillId="14" borderId="0" xfId="31" applyFill="1"/>
    <xf numFmtId="0" fontId="30" fillId="14" borderId="27" xfId="31" applyFill="1" applyBorder="1"/>
    <xf numFmtId="0" fontId="30" fillId="14" borderId="34" xfId="31" applyFill="1" applyBorder="1"/>
    <xf numFmtId="0" fontId="25" fillId="15" borderId="0" xfId="31" applyFont="1" applyFill="1" applyAlignment="1">
      <alignment wrapText="1"/>
    </xf>
    <xf numFmtId="168" fontId="30" fillId="0" borderId="0" xfId="31" applyNumberFormat="1" applyAlignment="1">
      <alignment horizontal="center" vertical="center"/>
    </xf>
    <xf numFmtId="44" fontId="30" fillId="0" borderId="0" xfId="31" applyNumberFormat="1" applyAlignment="1">
      <alignment horizontal="center" vertical="center"/>
    </xf>
    <xf numFmtId="168" fontId="23" fillId="19" borderId="0" xfId="32" applyNumberFormat="1" applyFont="1" applyFill="1" applyAlignment="1">
      <alignment horizontal="center" vertical="center" wrapText="1"/>
    </xf>
    <xf numFmtId="0" fontId="23" fillId="19" borderId="0" xfId="31" applyFont="1" applyFill="1" applyAlignment="1">
      <alignment horizontal="center" vertical="center" wrapText="1"/>
    </xf>
    <xf numFmtId="0" fontId="52" fillId="14" borderId="0" xfId="31" applyFont="1" applyFill="1" applyAlignment="1">
      <alignment vertical="center"/>
    </xf>
    <xf numFmtId="165" fontId="30" fillId="14" borderId="0" xfId="31" applyNumberFormat="1" applyFill="1"/>
    <xf numFmtId="0" fontId="30" fillId="14" borderId="0" xfId="31" applyFill="1" applyAlignment="1">
      <alignment horizontal="center" vertical="center"/>
    </xf>
    <xf numFmtId="0" fontId="30" fillId="14" borderId="0" xfId="31" applyFill="1" applyAlignment="1">
      <alignment horizontal="center" vertical="center" wrapText="1"/>
    </xf>
    <xf numFmtId="0" fontId="53" fillId="14" borderId="0" xfId="31" applyFont="1" applyFill="1" applyAlignment="1">
      <alignment vertical="center"/>
    </xf>
    <xf numFmtId="168" fontId="53" fillId="14" borderId="0" xfId="32" applyNumberFormat="1" applyFont="1" applyFill="1" applyAlignment="1">
      <alignment vertical="center"/>
    </xf>
    <xf numFmtId="0" fontId="54" fillId="14" borderId="0" xfId="31" applyFont="1" applyFill="1" applyAlignment="1">
      <alignment vertical="center"/>
    </xf>
    <xf numFmtId="0" fontId="52" fillId="14" borderId="0" xfId="31" applyFont="1" applyFill="1"/>
    <xf numFmtId="0" fontId="25" fillId="14" borderId="0" xfId="31" applyFont="1" applyFill="1"/>
    <xf numFmtId="0" fontId="57" fillId="19" borderId="10" xfId="31" applyFont="1" applyFill="1" applyBorder="1" applyAlignment="1">
      <alignment vertical="center"/>
    </xf>
    <xf numFmtId="0" fontId="58" fillId="14" borderId="0" xfId="31" applyFont="1" applyFill="1" applyAlignment="1">
      <alignment vertical="center"/>
    </xf>
    <xf numFmtId="0" fontId="57" fillId="19" borderId="34" xfId="31" applyFont="1" applyFill="1" applyBorder="1" applyAlignment="1">
      <alignment vertical="center"/>
    </xf>
    <xf numFmtId="0" fontId="2" fillId="16" borderId="0" xfId="35" applyFill="1"/>
    <xf numFmtId="0" fontId="11" fillId="16" borderId="0" xfId="35" applyFont="1" applyFill="1"/>
    <xf numFmtId="0" fontId="2" fillId="16" borderId="0" xfId="35" applyFill="1" applyAlignment="1">
      <alignment horizontal="center"/>
    </xf>
    <xf numFmtId="0" fontId="2" fillId="17" borderId="13" xfId="35" applyFill="1" applyBorder="1"/>
    <xf numFmtId="0" fontId="2" fillId="17" borderId="14" xfId="35" applyFill="1" applyBorder="1"/>
    <xf numFmtId="0" fontId="2" fillId="17" borderId="14" xfId="35" applyFill="1" applyBorder="1" applyAlignment="1">
      <alignment horizontal="center"/>
    </xf>
    <xf numFmtId="0" fontId="2" fillId="17" borderId="15" xfId="35" applyFill="1" applyBorder="1"/>
    <xf numFmtId="0" fontId="49" fillId="16" borderId="0" xfId="35" applyFont="1" applyFill="1"/>
    <xf numFmtId="0" fontId="2" fillId="16" borderId="0" xfId="35" applyFill="1" applyAlignment="1">
      <alignment vertical="center"/>
    </xf>
    <xf numFmtId="0" fontId="19" fillId="16" borderId="0" xfId="35" applyFont="1" applyFill="1" applyAlignment="1">
      <alignment vertical="center"/>
    </xf>
    <xf numFmtId="0" fontId="46" fillId="16" borderId="0" xfId="35" applyFont="1" applyFill="1"/>
    <xf numFmtId="0" fontId="2" fillId="0" borderId="0" xfId="35"/>
    <xf numFmtId="0" fontId="26" fillId="0" borderId="0" xfId="35" applyFont="1"/>
    <xf numFmtId="0" fontId="49" fillId="0" borderId="0" xfId="35" applyFont="1"/>
    <xf numFmtId="0" fontId="2" fillId="0" borderId="0" xfId="35" applyAlignment="1">
      <alignment vertical="center"/>
    </xf>
    <xf numFmtId="0" fontId="46" fillId="0" borderId="0" xfId="35" applyFont="1"/>
    <xf numFmtId="0" fontId="19" fillId="0" borderId="0" xfId="35" applyFont="1" applyAlignment="1">
      <alignment vertical="center"/>
    </xf>
    <xf numFmtId="0" fontId="2" fillId="16" borderId="0" xfId="0" applyFont="1" applyFill="1" applyAlignment="1">
      <alignment horizontal="left" indent="2"/>
    </xf>
    <xf numFmtId="44" fontId="69" fillId="19" borderId="0" xfId="0" applyNumberFormat="1" applyFont="1" applyFill="1" applyAlignment="1">
      <alignment horizontal="center" vertical="center"/>
    </xf>
    <xf numFmtId="168" fontId="69" fillId="19" borderId="0" xfId="0" applyNumberFormat="1" applyFont="1" applyFill="1" applyAlignment="1">
      <alignment horizontal="center" vertical="center"/>
    </xf>
    <xf numFmtId="168" fontId="59" fillId="19" borderId="0" xfId="0" applyNumberFormat="1" applyFont="1" applyFill="1" applyAlignment="1">
      <alignment horizontal="center" vertical="center"/>
    </xf>
    <xf numFmtId="44" fontId="23" fillId="0" borderId="0" xfId="3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4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43" fillId="19" borderId="2" xfId="35" applyFont="1" applyFill="1" applyBorder="1" applyAlignment="1">
      <alignment horizontal="right" vertical="center"/>
    </xf>
    <xf numFmtId="0" fontId="43" fillId="19" borderId="35" xfId="35" applyFont="1" applyFill="1" applyBorder="1" applyAlignment="1">
      <alignment horizontal="right" vertical="center"/>
    </xf>
    <xf numFmtId="0" fontId="19" fillId="19" borderId="1" xfId="35" applyFont="1" applyFill="1" applyBorder="1" applyAlignment="1">
      <alignment vertical="center"/>
    </xf>
    <xf numFmtId="0" fontId="43" fillId="19" borderId="3" xfId="35" applyFont="1" applyFill="1" applyBorder="1" applyAlignment="1">
      <alignment horizontal="center" vertical="center"/>
    </xf>
    <xf numFmtId="165" fontId="19" fillId="20" borderId="3" xfId="35" applyNumberFormat="1" applyFont="1" applyFill="1" applyBorder="1" applyAlignment="1">
      <alignment horizontal="center" vertical="center"/>
    </xf>
    <xf numFmtId="0" fontId="21" fillId="18" borderId="2" xfId="35" applyFont="1" applyFill="1" applyBorder="1" applyAlignment="1">
      <alignment vertical="center"/>
    </xf>
    <xf numFmtId="0" fontId="21" fillId="18" borderId="35" xfId="35" applyFont="1" applyFill="1" applyBorder="1" applyAlignment="1">
      <alignment vertical="center"/>
    </xf>
    <xf numFmtId="0" fontId="21" fillId="18" borderId="1" xfId="35" applyFont="1" applyFill="1" applyBorder="1" applyAlignment="1">
      <alignment vertical="center"/>
    </xf>
    <xf numFmtId="2" fontId="19" fillId="18" borderId="3" xfId="35" applyNumberFormat="1" applyFont="1" applyFill="1" applyBorder="1" applyAlignment="1">
      <alignment horizontal="center" vertical="center"/>
    </xf>
    <xf numFmtId="0" fontId="43" fillId="21" borderId="2" xfId="35" applyFont="1" applyFill="1" applyBorder="1" applyAlignment="1">
      <alignment vertical="center"/>
    </xf>
    <xf numFmtId="0" fontId="43" fillId="21" borderId="35" xfId="35" applyFont="1" applyFill="1" applyBorder="1" applyAlignment="1">
      <alignment vertical="center"/>
    </xf>
    <xf numFmtId="0" fontId="43" fillId="21" borderId="1" xfId="35" applyFont="1" applyFill="1" applyBorder="1" applyAlignment="1">
      <alignment vertical="center"/>
    </xf>
    <xf numFmtId="165" fontId="60" fillId="21" borderId="3" xfId="35" applyNumberFormat="1" applyFont="1" applyFill="1" applyBorder="1" applyAlignment="1">
      <alignment horizontal="center" vertical="center"/>
    </xf>
    <xf numFmtId="0" fontId="43" fillId="17" borderId="2" xfId="35" applyFont="1" applyFill="1" applyBorder="1" applyAlignment="1">
      <alignment horizontal="left" vertical="center" indent="1"/>
    </xf>
    <xf numFmtId="0" fontId="55" fillId="17" borderId="2" xfId="35" applyFont="1" applyFill="1" applyBorder="1" applyAlignment="1">
      <alignment horizontal="right" vertical="center" indent="1"/>
    </xf>
    <xf numFmtId="169" fontId="56" fillId="19" borderId="12" xfId="35" applyNumberFormat="1" applyFont="1" applyFill="1" applyBorder="1" applyAlignment="1">
      <alignment horizontal="right" vertical="center" indent="1"/>
    </xf>
    <xf numFmtId="0" fontId="8" fillId="17" borderId="35" xfId="35" applyFont="1" applyFill="1" applyBorder="1" applyAlignment="1">
      <alignment horizontal="left" vertical="center"/>
    </xf>
    <xf numFmtId="0" fontId="2" fillId="17" borderId="1" xfId="35" applyFill="1" applyBorder="1"/>
    <xf numFmtId="0" fontId="43" fillId="17" borderId="2" xfId="0" applyFont="1" applyFill="1" applyBorder="1" applyAlignment="1">
      <alignment horizontal="left" vertical="center" indent="1"/>
    </xf>
    <xf numFmtId="0" fontId="8" fillId="17" borderId="35" xfId="0" applyFont="1" applyFill="1" applyBorder="1" applyAlignment="1">
      <alignment horizontal="left" vertical="center" indent="1"/>
    </xf>
    <xf numFmtId="0" fontId="8" fillId="17" borderId="1" xfId="0" applyFont="1" applyFill="1" applyBorder="1" applyAlignment="1">
      <alignment horizontal="left" vertical="center" indent="1"/>
    </xf>
    <xf numFmtId="0" fontId="43" fillId="17" borderId="35" xfId="0" applyFont="1" applyFill="1" applyBorder="1" applyAlignment="1">
      <alignment horizontal="left" vertical="center" indent="1"/>
    </xf>
    <xf numFmtId="0" fontId="43" fillId="17" borderId="1" xfId="0" applyFont="1" applyFill="1" applyBorder="1" applyAlignment="1">
      <alignment horizontal="left" vertical="center" indent="1"/>
    </xf>
    <xf numFmtId="0" fontId="55" fillId="17" borderId="1" xfId="35" applyFont="1" applyFill="1" applyBorder="1" applyAlignment="1">
      <alignment horizontal="left" vertical="center" indent="1"/>
    </xf>
    <xf numFmtId="0" fontId="55" fillId="17" borderId="35" xfId="35" applyFont="1" applyFill="1" applyBorder="1" applyAlignment="1">
      <alignment vertical="center"/>
    </xf>
    <xf numFmtId="0" fontId="55" fillId="17" borderId="1" xfId="35" applyFont="1" applyFill="1" applyBorder="1" applyAlignment="1">
      <alignment vertical="center"/>
    </xf>
    <xf numFmtId="165" fontId="43" fillId="17" borderId="2" xfId="35" applyNumberFormat="1" applyFont="1" applyFill="1" applyBorder="1" applyAlignment="1">
      <alignment horizontal="left" vertical="center" indent="1"/>
    </xf>
    <xf numFmtId="0" fontId="2" fillId="17" borderId="35" xfId="35" applyFill="1" applyBorder="1" applyAlignment="1">
      <alignment horizontal="center"/>
    </xf>
    <xf numFmtId="172" fontId="7" fillId="14" borderId="35" xfId="35" applyNumberFormat="1" applyFont="1" applyFill="1" applyBorder="1" applyAlignment="1" applyProtection="1">
      <alignment horizontal="center" vertical="center"/>
      <protection locked="0"/>
    </xf>
    <xf numFmtId="0" fontId="2" fillId="16" borderId="0" xfId="35" applyFill="1" applyProtection="1">
      <protection locked="0"/>
    </xf>
    <xf numFmtId="0" fontId="2" fillId="18" borderId="16" xfId="35" applyFill="1" applyBorder="1" applyProtection="1">
      <protection locked="0"/>
    </xf>
    <xf numFmtId="0" fontId="2" fillId="18" borderId="0" xfId="35" applyFill="1" applyProtection="1">
      <protection locked="0"/>
    </xf>
    <xf numFmtId="0" fontId="8" fillId="18" borderId="0" xfId="35" applyFont="1" applyFill="1" applyAlignment="1" applyProtection="1">
      <alignment horizontal="center"/>
      <protection locked="0"/>
    </xf>
    <xf numFmtId="0" fontId="10" fillId="18" borderId="0" xfId="35" applyFont="1" applyFill="1" applyAlignment="1" applyProtection="1">
      <alignment horizontal="center"/>
      <protection locked="0"/>
    </xf>
    <xf numFmtId="0" fontId="10" fillId="18" borderId="17" xfId="35" applyFont="1" applyFill="1" applyBorder="1" applyProtection="1">
      <protection locked="0"/>
    </xf>
    <xf numFmtId="0" fontId="40" fillId="18" borderId="0" xfId="35" applyFont="1" applyFill="1" applyProtection="1">
      <protection locked="0"/>
    </xf>
    <xf numFmtId="0" fontId="41" fillId="18" borderId="0" xfId="35" applyFont="1" applyFill="1" applyProtection="1">
      <protection locked="0"/>
    </xf>
    <xf numFmtId="0" fontId="42" fillId="18" borderId="0" xfId="35" applyFont="1" applyFill="1" applyAlignment="1" applyProtection="1">
      <alignment horizontal="center"/>
      <protection locked="0"/>
    </xf>
    <xf numFmtId="0" fontId="7" fillId="18" borderId="0" xfId="35" applyFont="1" applyFill="1" applyAlignment="1" applyProtection="1">
      <alignment horizontal="center"/>
      <protection locked="0"/>
    </xf>
    <xf numFmtId="0" fontId="2" fillId="18" borderId="0" xfId="35" applyFill="1" applyAlignment="1" applyProtection="1">
      <alignment horizontal="center"/>
      <protection locked="0"/>
    </xf>
    <xf numFmtId="0" fontId="2" fillId="18" borderId="17" xfId="35" applyFill="1" applyBorder="1" applyProtection="1">
      <protection locked="0"/>
    </xf>
    <xf numFmtId="0" fontId="9" fillId="18" borderId="0" xfId="35" applyFont="1" applyFill="1" applyProtection="1">
      <protection locked="0"/>
    </xf>
    <xf numFmtId="0" fontId="43" fillId="17" borderId="2" xfId="0" applyFont="1" applyFill="1" applyBorder="1" applyAlignment="1" applyProtection="1">
      <alignment horizontal="left" vertical="center" indent="1"/>
      <protection locked="0"/>
    </xf>
    <xf numFmtId="0" fontId="43" fillId="17" borderId="35" xfId="0" applyFont="1" applyFill="1" applyBorder="1" applyAlignment="1" applyProtection="1">
      <alignment horizontal="left" vertical="center" indent="1"/>
      <protection locked="0"/>
    </xf>
    <xf numFmtId="0" fontId="43" fillId="17" borderId="1" xfId="0" applyFont="1" applyFill="1" applyBorder="1" applyAlignment="1" applyProtection="1">
      <alignment horizontal="left" vertical="center" indent="1"/>
      <protection locked="0"/>
    </xf>
    <xf numFmtId="0" fontId="2" fillId="18" borderId="17" xfId="35" applyFill="1" applyBorder="1" applyAlignment="1" applyProtection="1">
      <alignment horizontal="center"/>
      <protection locked="0"/>
    </xf>
    <xf numFmtId="0" fontId="43" fillId="18" borderId="0" xfId="0" applyFont="1" applyFill="1" applyAlignment="1" applyProtection="1">
      <alignment horizontal="left" vertical="center" indent="1"/>
      <protection locked="0"/>
    </xf>
    <xf numFmtId="0" fontId="19" fillId="18" borderId="0" xfId="35" applyFont="1" applyFill="1" applyAlignment="1" applyProtection="1">
      <alignment horizontal="left" indent="1"/>
      <protection locked="0"/>
    </xf>
    <xf numFmtId="0" fontId="2" fillId="22" borderId="0" xfId="35" applyFill="1" applyProtection="1">
      <protection locked="0"/>
    </xf>
    <xf numFmtId="0" fontId="43" fillId="17" borderId="2" xfId="35" applyFont="1" applyFill="1" applyBorder="1" applyAlignment="1" applyProtection="1">
      <alignment horizontal="left" vertical="center" indent="1"/>
      <protection locked="0"/>
    </xf>
    <xf numFmtId="0" fontId="19" fillId="18" borderId="0" xfId="0" applyFont="1" applyFill="1" applyAlignment="1" applyProtection="1">
      <alignment horizontal="left" vertical="center" indent="1"/>
      <protection locked="0"/>
    </xf>
    <xf numFmtId="0" fontId="2" fillId="18" borderId="0" xfId="0" applyFont="1" applyFill="1" applyAlignment="1" applyProtection="1">
      <alignment vertical="center"/>
      <protection locked="0"/>
    </xf>
    <xf numFmtId="0" fontId="2" fillId="18" borderId="0" xfId="0" applyFont="1" applyFill="1" applyProtection="1">
      <protection locked="0"/>
    </xf>
    <xf numFmtId="0" fontId="21" fillId="18" borderId="0" xfId="0" applyFont="1" applyFill="1" applyAlignment="1" applyProtection="1">
      <alignment horizontal="left" vertical="center" indent="1"/>
      <protection locked="0"/>
    </xf>
    <xf numFmtId="0" fontId="2" fillId="18" borderId="0" xfId="0" applyFont="1" applyFill="1" applyAlignment="1" applyProtection="1">
      <alignment horizontal="center" vertical="center"/>
      <protection locked="0"/>
    </xf>
    <xf numFmtId="170" fontId="2" fillId="18" borderId="0" xfId="0" applyNumberFormat="1" applyFont="1" applyFill="1" applyAlignment="1" applyProtection="1">
      <alignment horizontal="left" vertical="center" indent="2"/>
      <protection locked="0"/>
    </xf>
    <xf numFmtId="170" fontId="2" fillId="18" borderId="0" xfId="0" applyNumberFormat="1" applyFont="1" applyFill="1" applyAlignment="1" applyProtection="1">
      <alignment horizontal="left" indent="2"/>
      <protection locked="0"/>
    </xf>
    <xf numFmtId="0" fontId="55" fillId="17" borderId="2" xfId="35" applyFont="1" applyFill="1" applyBorder="1" applyAlignment="1" applyProtection="1">
      <alignment horizontal="right" vertical="center" indent="1"/>
      <protection locked="0"/>
    </xf>
    <xf numFmtId="0" fontId="2" fillId="18" borderId="0" xfId="0" applyFont="1" applyFill="1" applyAlignment="1" applyProtection="1">
      <alignment horizontal="right" vertical="center" indent="1"/>
      <protection locked="0"/>
    </xf>
    <xf numFmtId="0" fontId="19" fillId="18" borderId="0" xfId="35" applyFont="1" applyFill="1" applyAlignment="1" applyProtection="1">
      <alignment horizontal="left" vertical="center" indent="1"/>
      <protection locked="0"/>
    </xf>
    <xf numFmtId="0" fontId="19" fillId="22" borderId="0" xfId="35" applyFont="1" applyFill="1" applyAlignment="1" applyProtection="1">
      <alignment horizontal="right" indent="1"/>
      <protection locked="0"/>
    </xf>
    <xf numFmtId="0" fontId="2" fillId="22" borderId="0" xfId="35" applyFill="1" applyAlignment="1" applyProtection="1">
      <alignment horizontal="center"/>
      <protection locked="0"/>
    </xf>
    <xf numFmtId="0" fontId="2" fillId="14" borderId="0" xfId="35" applyFill="1" applyProtection="1">
      <protection locked="0"/>
    </xf>
    <xf numFmtId="0" fontId="19" fillId="14" borderId="0" xfId="35" applyFont="1" applyFill="1" applyAlignment="1" applyProtection="1">
      <alignment horizontal="right" indent="1"/>
      <protection locked="0"/>
    </xf>
    <xf numFmtId="0" fontId="2" fillId="18" borderId="0" xfId="35" applyFill="1" applyAlignment="1" applyProtection="1">
      <alignment vertical="center"/>
      <protection locked="0"/>
    </xf>
    <xf numFmtId="0" fontId="2" fillId="18" borderId="0" xfId="0" applyFont="1" applyFill="1" applyAlignment="1" applyProtection="1">
      <alignment horizontal="left" indent="1"/>
      <protection locked="0"/>
    </xf>
    <xf numFmtId="0" fontId="19" fillId="22" borderId="0" xfId="35" applyFont="1" applyFill="1" applyProtection="1">
      <protection locked="0"/>
    </xf>
    <xf numFmtId="0" fontId="4" fillId="18" borderId="0" xfId="35" applyFont="1" applyFill="1" applyAlignment="1" applyProtection="1">
      <alignment vertical="center"/>
      <protection locked="0"/>
    </xf>
    <xf numFmtId="0" fontId="19" fillId="18" borderId="0" xfId="35" applyFont="1" applyFill="1" applyAlignment="1" applyProtection="1">
      <alignment horizontal="center"/>
      <protection locked="0"/>
    </xf>
    <xf numFmtId="0" fontId="8" fillId="18" borderId="0" xfId="35" applyFont="1" applyFill="1" applyAlignment="1" applyProtection="1">
      <alignment horizontal="left" vertical="center" indent="1"/>
      <protection locked="0"/>
    </xf>
    <xf numFmtId="0" fontId="28" fillId="18" borderId="0" xfId="35" applyFont="1" applyFill="1" applyAlignment="1" applyProtection="1">
      <alignment horizontal="center"/>
      <protection locked="0"/>
    </xf>
    <xf numFmtId="0" fontId="8" fillId="18" borderId="16" xfId="35" applyFont="1" applyFill="1" applyBorder="1" applyAlignment="1" applyProtection="1">
      <alignment horizontal="left" vertical="center" indent="1"/>
      <protection locked="0"/>
    </xf>
    <xf numFmtId="0" fontId="8" fillId="17" borderId="35" xfId="35" applyFont="1" applyFill="1" applyBorder="1" applyAlignment="1" applyProtection="1">
      <alignment vertical="center"/>
      <protection locked="0"/>
    </xf>
    <xf numFmtId="0" fontId="8" fillId="17" borderId="1" xfId="35" applyFont="1" applyFill="1" applyBorder="1" applyAlignment="1" applyProtection="1">
      <alignment vertical="center"/>
      <protection locked="0"/>
    </xf>
    <xf numFmtId="0" fontId="2" fillId="18" borderId="13" xfId="35" applyFill="1" applyBorder="1" applyProtection="1">
      <protection locked="0"/>
    </xf>
    <xf numFmtId="0" fontId="2" fillId="18" borderId="14" xfId="35" applyFill="1" applyBorder="1" applyProtection="1">
      <protection locked="0"/>
    </xf>
    <xf numFmtId="0" fontId="2" fillId="18" borderId="15" xfId="35" applyFill="1" applyBorder="1" applyProtection="1">
      <protection locked="0"/>
    </xf>
    <xf numFmtId="0" fontId="19" fillId="16" borderId="0" xfId="35" applyFont="1" applyFill="1" applyProtection="1">
      <protection locked="0"/>
    </xf>
    <xf numFmtId="0" fontId="48" fillId="16" borderId="0" xfId="0" applyFont="1" applyFill="1" applyProtection="1">
      <protection locked="0"/>
    </xf>
    <xf numFmtId="0" fontId="20" fillId="16" borderId="0" xfId="0" applyFont="1" applyFill="1" applyProtection="1">
      <protection locked="0"/>
    </xf>
    <xf numFmtId="0" fontId="49" fillId="16" borderId="0" xfId="0" applyFont="1" applyFill="1" applyProtection="1">
      <protection locked="0"/>
    </xf>
    <xf numFmtId="0" fontId="19" fillId="16" borderId="0" xfId="0" applyFont="1" applyFill="1" applyProtection="1">
      <protection locked="0"/>
    </xf>
    <xf numFmtId="0" fontId="49" fillId="16" borderId="0" xfId="35" applyFont="1" applyFill="1" applyProtection="1">
      <protection locked="0"/>
    </xf>
    <xf numFmtId="49" fontId="46" fillId="16" borderId="0" xfId="0" applyNumberFormat="1" applyFont="1" applyFill="1" applyAlignment="1" applyProtection="1">
      <alignment horizontal="left"/>
      <protection locked="0"/>
    </xf>
    <xf numFmtId="0" fontId="20" fillId="16" borderId="0" xfId="0" applyFont="1" applyFill="1" applyAlignment="1" applyProtection="1">
      <alignment horizontal="left"/>
      <protection locked="0"/>
    </xf>
    <xf numFmtId="49" fontId="20" fillId="16" borderId="0" xfId="0" applyNumberFormat="1" applyFont="1" applyFill="1" applyAlignment="1" applyProtection="1">
      <alignment horizontal="left"/>
      <protection locked="0"/>
    </xf>
    <xf numFmtId="0" fontId="49" fillId="16" borderId="0" xfId="0" applyFont="1" applyFill="1" applyAlignment="1" applyProtection="1">
      <alignment vertical="center"/>
      <protection locked="0"/>
    </xf>
    <xf numFmtId="0" fontId="19" fillId="16" borderId="0" xfId="0" applyFont="1" applyFill="1" applyAlignment="1" applyProtection="1">
      <alignment vertical="center"/>
      <protection locked="0"/>
    </xf>
    <xf numFmtId="0" fontId="14" fillId="16" borderId="0" xfId="35" applyFont="1" applyFill="1" applyProtection="1">
      <protection locked="0"/>
    </xf>
    <xf numFmtId="0" fontId="2" fillId="16" borderId="0" xfId="35" applyFill="1" applyAlignment="1" applyProtection="1">
      <alignment vertical="center"/>
      <protection locked="0"/>
    </xf>
    <xf numFmtId="0" fontId="19" fillId="16" borderId="0" xfId="35" applyFont="1" applyFill="1" applyAlignment="1" applyProtection="1">
      <alignment vertical="center"/>
      <protection locked="0"/>
    </xf>
    <xf numFmtId="0" fontId="49" fillId="16" borderId="0" xfId="35" applyFont="1" applyFill="1" applyAlignment="1" applyProtection="1">
      <alignment vertical="center"/>
      <protection locked="0"/>
    </xf>
    <xf numFmtId="0" fontId="14" fillId="16" borderId="0" xfId="35" applyFont="1" applyFill="1" applyAlignment="1" applyProtection="1">
      <alignment vertical="center"/>
      <protection locked="0"/>
    </xf>
    <xf numFmtId="0" fontId="46" fillId="16" borderId="0" xfId="35" applyFont="1" applyFill="1" applyAlignment="1" applyProtection="1">
      <alignment vertical="center"/>
      <protection locked="0"/>
    </xf>
    <xf numFmtId="0" fontId="46" fillId="16" borderId="0" xfId="0" applyFont="1" applyFill="1" applyAlignment="1" applyProtection="1">
      <alignment vertical="center"/>
      <protection locked="0"/>
    </xf>
    <xf numFmtId="0" fontId="51" fillId="16" borderId="0" xfId="34" applyFont="1" applyFill="1" applyProtection="1">
      <protection locked="0"/>
    </xf>
    <xf numFmtId="0" fontId="21" fillId="16" borderId="0" xfId="0" applyFont="1" applyFill="1" applyProtection="1">
      <protection locked="0"/>
    </xf>
    <xf numFmtId="0" fontId="20" fillId="16" borderId="0" xfId="35" applyFont="1" applyFill="1" applyProtection="1">
      <protection locked="0"/>
    </xf>
    <xf numFmtId="0" fontId="45" fillId="17" borderId="12" xfId="0" applyFont="1" applyFill="1" applyBorder="1" applyAlignment="1">
      <alignment vertical="center"/>
    </xf>
    <xf numFmtId="0" fontId="45" fillId="17" borderId="21" xfId="0" applyFont="1" applyFill="1" applyBorder="1" applyAlignment="1">
      <alignment vertical="center"/>
    </xf>
    <xf numFmtId="0" fontId="50" fillId="17" borderId="11" xfId="0" applyFont="1" applyFill="1" applyBorder="1" applyAlignment="1">
      <alignment vertical="center"/>
    </xf>
    <xf numFmtId="0" fontId="45" fillId="17" borderId="19" xfId="0" applyFont="1" applyFill="1" applyBorder="1" applyAlignment="1">
      <alignment vertical="center"/>
    </xf>
    <xf numFmtId="0" fontId="45" fillId="17" borderId="18" xfId="0" applyFont="1" applyFill="1" applyBorder="1" applyAlignment="1">
      <alignment vertical="center"/>
    </xf>
    <xf numFmtId="0" fontId="50" fillId="17" borderId="20" xfId="0" applyFont="1" applyFill="1" applyBorder="1" applyAlignment="1">
      <alignment vertical="center"/>
    </xf>
    <xf numFmtId="0" fontId="44" fillId="16" borderId="16" xfId="0" applyFont="1" applyFill="1" applyBorder="1" applyAlignment="1">
      <alignment vertical="center"/>
    </xf>
    <xf numFmtId="0" fontId="44" fillId="16" borderId="0" xfId="0" applyFont="1" applyFill="1" applyAlignment="1">
      <alignment vertical="center"/>
    </xf>
    <xf numFmtId="0" fontId="46" fillId="16" borderId="17" xfId="0" applyFont="1" applyFill="1" applyBorder="1" applyAlignment="1">
      <alignment vertical="center"/>
    </xf>
    <xf numFmtId="0" fontId="44" fillId="16" borderId="19" xfId="0" applyFont="1" applyFill="1" applyBorder="1" applyAlignment="1">
      <alignment vertical="center"/>
    </xf>
    <xf numFmtId="0" fontId="44" fillId="16" borderId="18" xfId="0" applyFont="1" applyFill="1" applyBorder="1" applyAlignment="1">
      <alignment vertical="center"/>
    </xf>
    <xf numFmtId="0" fontId="46" fillId="16" borderId="20" xfId="0" applyFont="1" applyFill="1" applyBorder="1" applyAlignment="1">
      <alignment vertical="center"/>
    </xf>
    <xf numFmtId="0" fontId="44" fillId="16" borderId="16" xfId="0" applyFont="1" applyFill="1" applyBorder="1" applyAlignment="1">
      <alignment horizontal="left" vertical="center"/>
    </xf>
    <xf numFmtId="0" fontId="44" fillId="16" borderId="0" xfId="0" applyFont="1" applyFill="1" applyAlignment="1">
      <alignment horizontal="left" vertical="center"/>
    </xf>
    <xf numFmtId="0" fontId="44" fillId="16" borderId="13" xfId="0" applyFont="1" applyFill="1" applyBorder="1" applyAlignment="1">
      <alignment horizontal="left" vertical="center"/>
    </xf>
    <xf numFmtId="0" fontId="44" fillId="16" borderId="14" xfId="0" applyFont="1" applyFill="1" applyBorder="1" applyAlignment="1">
      <alignment horizontal="left" vertical="center"/>
    </xf>
    <xf numFmtId="0" fontId="46" fillId="16" borderId="15" xfId="0" applyFont="1" applyFill="1" applyBorder="1" applyAlignment="1">
      <alignment vertical="center"/>
    </xf>
    <xf numFmtId="49" fontId="44" fillId="16" borderId="0" xfId="0" applyNumberFormat="1" applyFont="1" applyFill="1" applyAlignment="1">
      <alignment horizontal="left" vertical="center"/>
    </xf>
    <xf numFmtId="0" fontId="46" fillId="16" borderId="0" xfId="0" applyFont="1" applyFill="1" applyAlignment="1">
      <alignment vertical="center"/>
    </xf>
    <xf numFmtId="0" fontId="44" fillId="16" borderId="0" xfId="0" applyFont="1" applyFill="1" applyAlignment="1">
      <alignment horizontal="right" vertical="center"/>
    </xf>
    <xf numFmtId="0" fontId="46" fillId="16" borderId="19" xfId="0" applyFont="1" applyFill="1" applyBorder="1" applyAlignment="1">
      <alignment vertical="center"/>
    </xf>
    <xf numFmtId="0" fontId="46" fillId="16" borderId="28" xfId="0" applyFont="1" applyFill="1" applyBorder="1" applyAlignment="1">
      <alignment vertical="center"/>
    </xf>
    <xf numFmtId="0" fontId="46" fillId="16" borderId="16" xfId="0" applyFont="1" applyFill="1" applyBorder="1" applyAlignment="1">
      <alignment vertical="center"/>
    </xf>
    <xf numFmtId="0" fontId="46" fillId="16" borderId="30" xfId="0" applyFont="1" applyFill="1" applyBorder="1" applyAlignment="1">
      <alignment vertical="center"/>
    </xf>
    <xf numFmtId="0" fontId="46" fillId="16" borderId="13" xfId="0" applyFont="1" applyFill="1" applyBorder="1" applyAlignment="1">
      <alignment vertical="center"/>
    </xf>
    <xf numFmtId="0" fontId="46" fillId="16" borderId="29" xfId="0" applyFont="1" applyFill="1" applyBorder="1" applyAlignment="1">
      <alignment vertical="center"/>
    </xf>
    <xf numFmtId="0" fontId="49" fillId="14" borderId="0" xfId="31" applyFont="1" applyFill="1" applyProtection="1">
      <protection locked="0"/>
    </xf>
    <xf numFmtId="0" fontId="65" fillId="14" borderId="0" xfId="31" applyFont="1" applyFill="1" applyAlignment="1" applyProtection="1">
      <alignment horizontal="center"/>
      <protection locked="0"/>
    </xf>
    <xf numFmtId="2" fontId="49" fillId="14" borderId="0" xfId="31" applyNumberFormat="1" applyFont="1" applyFill="1" applyProtection="1">
      <protection locked="0"/>
    </xf>
    <xf numFmtId="44" fontId="49" fillId="14" borderId="0" xfId="33" applyFont="1" applyFill="1" applyProtection="1">
      <protection locked="0"/>
    </xf>
    <xf numFmtId="1" fontId="49" fillId="14" borderId="0" xfId="31" applyNumberFormat="1" applyFont="1" applyFill="1" applyProtection="1">
      <protection locked="0"/>
    </xf>
    <xf numFmtId="168" fontId="49" fillId="14" borderId="0" xfId="32" applyNumberFormat="1" applyFont="1" applyFill="1" applyProtection="1">
      <protection locked="0"/>
    </xf>
    <xf numFmtId="0" fontId="49" fillId="0" borderId="0" xfId="31" applyFont="1" applyProtection="1">
      <protection locked="0"/>
    </xf>
    <xf numFmtId="0" fontId="49" fillId="14" borderId="0" xfId="31" applyFont="1" applyFill="1" applyAlignment="1" applyProtection="1">
      <alignment horizontal="center"/>
      <protection locked="0"/>
    </xf>
    <xf numFmtId="44" fontId="20" fillId="14" borderId="0" xfId="33" applyFont="1" applyFill="1" applyProtection="1">
      <protection locked="0"/>
    </xf>
    <xf numFmtId="0" fontId="20" fillId="14" borderId="0" xfId="31" applyFont="1" applyFill="1" applyProtection="1">
      <protection locked="0"/>
    </xf>
    <xf numFmtId="168" fontId="20" fillId="14" borderId="0" xfId="32" applyNumberFormat="1" applyFont="1" applyFill="1" applyProtection="1">
      <protection locked="0"/>
    </xf>
    <xf numFmtId="0" fontId="21" fillId="14" borderId="0" xfId="31" applyFont="1" applyFill="1" applyAlignment="1" applyProtection="1">
      <alignment horizontal="left" indent="1"/>
      <protection locked="0"/>
    </xf>
    <xf numFmtId="165" fontId="49" fillId="14" borderId="0" xfId="31" applyNumberFormat="1" applyFont="1" applyFill="1" applyProtection="1">
      <protection locked="0"/>
    </xf>
    <xf numFmtId="0" fontId="21" fillId="14" borderId="14" xfId="31" applyFont="1" applyFill="1" applyBorder="1" applyAlignment="1" applyProtection="1">
      <alignment horizontal="left" indent="1"/>
      <protection locked="0"/>
    </xf>
    <xf numFmtId="0" fontId="20" fillId="14" borderId="0" xfId="31" applyFont="1" applyFill="1" applyAlignment="1" applyProtection="1">
      <alignment horizontal="center"/>
      <protection locked="0"/>
    </xf>
    <xf numFmtId="49" fontId="44" fillId="14" borderId="0" xfId="33" applyNumberFormat="1" applyFont="1" applyFill="1" applyProtection="1">
      <protection locked="0"/>
    </xf>
    <xf numFmtId="49" fontId="46" fillId="14" borderId="0" xfId="33" applyNumberFormat="1" applyFont="1" applyFill="1" applyProtection="1">
      <protection locked="0"/>
    </xf>
    <xf numFmtId="49" fontId="46" fillId="14" borderId="0" xfId="32" applyNumberFormat="1" applyFont="1" applyFill="1" applyProtection="1">
      <protection locked="0"/>
    </xf>
    <xf numFmtId="44" fontId="44" fillId="14" borderId="0" xfId="33" applyFont="1" applyFill="1" applyProtection="1">
      <protection locked="0"/>
    </xf>
    <xf numFmtId="49" fontId="46" fillId="14" borderId="0" xfId="31" applyNumberFormat="1" applyFont="1" applyFill="1" applyProtection="1">
      <protection locked="0"/>
    </xf>
    <xf numFmtId="49" fontId="49" fillId="14" borderId="0" xfId="32" applyNumberFormat="1" applyFont="1" applyFill="1" applyProtection="1">
      <protection locked="0"/>
    </xf>
    <xf numFmtId="49" fontId="20" fillId="14" borderId="0" xfId="32" applyNumberFormat="1" applyFont="1" applyFill="1" applyProtection="1">
      <protection locked="0"/>
    </xf>
    <xf numFmtId="0" fontId="46" fillId="14" borderId="0" xfId="31" applyFont="1" applyFill="1" applyProtection="1">
      <protection locked="0"/>
    </xf>
    <xf numFmtId="0" fontId="44" fillId="14" borderId="0" xfId="31" applyFont="1" applyFill="1" applyProtection="1">
      <protection locked="0"/>
    </xf>
    <xf numFmtId="0" fontId="44" fillId="14" borderId="0" xfId="31" applyFont="1" applyFill="1" applyAlignment="1" applyProtection="1">
      <alignment horizontal="center"/>
      <protection locked="0"/>
    </xf>
    <xf numFmtId="2" fontId="44" fillId="14" borderId="0" xfId="31" applyNumberFormat="1" applyFont="1" applyFill="1" applyProtection="1">
      <protection locked="0"/>
    </xf>
    <xf numFmtId="1" fontId="44" fillId="14" borderId="0" xfId="31" applyNumberFormat="1" applyFont="1" applyFill="1" applyProtection="1">
      <protection locked="0"/>
    </xf>
    <xf numFmtId="44" fontId="56" fillId="15" borderId="19" xfId="33" applyFont="1" applyFill="1" applyBorder="1" applyAlignment="1" applyProtection="1">
      <protection locked="0"/>
    </xf>
    <xf numFmtId="44" fontId="44" fillId="15" borderId="18" xfId="33" applyFont="1" applyFill="1" applyBorder="1" applyAlignment="1" applyProtection="1">
      <protection locked="0"/>
    </xf>
    <xf numFmtId="168" fontId="44" fillId="15" borderId="18" xfId="32" applyNumberFormat="1" applyFont="1" applyFill="1" applyBorder="1" applyAlignment="1" applyProtection="1">
      <protection locked="0"/>
    </xf>
    <xf numFmtId="0" fontId="44" fillId="15" borderId="18" xfId="31" applyFont="1" applyFill="1" applyBorder="1" applyProtection="1">
      <protection locked="0"/>
    </xf>
    <xf numFmtId="168" fontId="44" fillId="15" borderId="20" xfId="32" applyNumberFormat="1" applyFont="1" applyFill="1" applyBorder="1" applyAlignment="1" applyProtection="1">
      <protection locked="0"/>
    </xf>
    <xf numFmtId="0" fontId="46" fillId="0" borderId="0" xfId="31" applyFont="1" applyProtection="1">
      <protection locked="0"/>
    </xf>
    <xf numFmtId="0" fontId="58" fillId="14" borderId="0" xfId="31" applyFont="1" applyFill="1" applyAlignment="1" applyProtection="1">
      <alignment horizontal="center" vertical="center"/>
      <protection locked="0"/>
    </xf>
    <xf numFmtId="0" fontId="55" fillId="17" borderId="8" xfId="31" applyFont="1" applyFill="1" applyBorder="1" applyAlignment="1" applyProtection="1">
      <alignment horizontal="center" vertical="center"/>
      <protection locked="0"/>
    </xf>
    <xf numFmtId="0" fontId="55" fillId="17" borderId="31" xfId="31" applyFont="1" applyFill="1" applyBorder="1" applyAlignment="1" applyProtection="1">
      <alignment horizontal="center" vertical="center" wrapText="1"/>
      <protection locked="0"/>
    </xf>
    <xf numFmtId="2" fontId="55" fillId="17" borderId="32" xfId="31" applyNumberFormat="1" applyFont="1" applyFill="1" applyBorder="1" applyAlignment="1" applyProtection="1">
      <alignment horizontal="center" vertical="center" wrapText="1"/>
      <protection locked="0"/>
    </xf>
    <xf numFmtId="44" fontId="55" fillId="17" borderId="40" xfId="33" applyFont="1" applyFill="1" applyBorder="1" applyAlignment="1" applyProtection="1">
      <alignment horizontal="center" vertical="center" wrapText="1"/>
      <protection locked="0"/>
    </xf>
    <xf numFmtId="1" fontId="55" fillId="17" borderId="8" xfId="31" applyNumberFormat="1" applyFont="1" applyFill="1" applyBorder="1" applyAlignment="1" applyProtection="1">
      <alignment horizontal="center" vertical="center"/>
      <protection locked="0"/>
    </xf>
    <xf numFmtId="44" fontId="55" fillId="17" borderId="8" xfId="33" applyFont="1" applyFill="1" applyBorder="1" applyAlignment="1" applyProtection="1">
      <alignment horizontal="center" vertical="center" wrapText="1"/>
      <protection locked="0"/>
    </xf>
    <xf numFmtId="0" fontId="55" fillId="17" borderId="38" xfId="31" applyFont="1" applyFill="1" applyBorder="1" applyAlignment="1" applyProtection="1">
      <alignment horizontal="center" vertical="center" wrapText="1"/>
      <protection locked="0"/>
    </xf>
    <xf numFmtId="44" fontId="55" fillId="17" borderId="37" xfId="33" applyFont="1" applyFill="1" applyBorder="1" applyAlignment="1" applyProtection="1">
      <alignment horizontal="center" vertical="center" wrapText="1"/>
      <protection locked="0"/>
    </xf>
    <xf numFmtId="44" fontId="55" fillId="17" borderId="39" xfId="33" applyFont="1" applyFill="1" applyBorder="1" applyAlignment="1" applyProtection="1">
      <alignment horizontal="center" vertical="center" wrapText="1"/>
      <protection locked="0"/>
    </xf>
    <xf numFmtId="44" fontId="55" fillId="17" borderId="38" xfId="33" applyFont="1" applyFill="1" applyBorder="1" applyAlignment="1" applyProtection="1">
      <alignment horizontal="center" vertical="center" wrapText="1"/>
      <protection locked="0"/>
    </xf>
    <xf numFmtId="168" fontId="55" fillId="17" borderId="37" xfId="32" applyNumberFormat="1" applyFont="1" applyFill="1" applyBorder="1" applyAlignment="1" applyProtection="1">
      <alignment horizontal="center" vertical="center" wrapText="1"/>
      <protection locked="0"/>
    </xf>
    <xf numFmtId="168" fontId="55" fillId="17" borderId="8" xfId="32" applyNumberFormat="1" applyFont="1" applyFill="1" applyBorder="1" applyAlignment="1" applyProtection="1">
      <alignment horizontal="center" vertical="center" wrapText="1"/>
      <protection locked="0"/>
    </xf>
    <xf numFmtId="44" fontId="55" fillId="17" borderId="31" xfId="33" applyFont="1" applyFill="1" applyBorder="1" applyAlignment="1" applyProtection="1">
      <alignment horizontal="center" vertical="center" wrapText="1"/>
      <protection locked="0"/>
    </xf>
    <xf numFmtId="0" fontId="55" fillId="17" borderId="41" xfId="31" applyFont="1" applyFill="1" applyBorder="1" applyAlignment="1" applyProtection="1">
      <alignment horizontal="center" vertical="center" wrapText="1"/>
      <protection locked="0"/>
    </xf>
    <xf numFmtId="168" fontId="55" fillId="17" borderId="41" xfId="32" applyNumberFormat="1" applyFont="1" applyFill="1" applyBorder="1" applyAlignment="1" applyProtection="1">
      <alignment horizontal="center" vertical="center" wrapText="1"/>
      <protection locked="0"/>
    </xf>
    <xf numFmtId="168" fontId="55" fillId="17" borderId="32" xfId="32" applyNumberFormat="1" applyFont="1" applyFill="1" applyBorder="1" applyAlignment="1" applyProtection="1">
      <alignment horizontal="center" vertical="center" wrapText="1"/>
      <protection locked="0"/>
    </xf>
    <xf numFmtId="0" fontId="58" fillId="0" borderId="0" xfId="31" applyFont="1" applyAlignment="1" applyProtection="1">
      <alignment horizontal="center" vertical="center"/>
      <protection locked="0"/>
    </xf>
    <xf numFmtId="0" fontId="66" fillId="14" borderId="0" xfId="31" applyFont="1" applyFill="1" applyAlignment="1" applyProtection="1">
      <alignment horizontal="center" vertical="center"/>
      <protection locked="0"/>
    </xf>
    <xf numFmtId="0" fontId="19" fillId="0" borderId="0" xfId="31" applyFont="1" applyAlignment="1" applyProtection="1">
      <alignment horizontal="center" vertical="center"/>
      <protection locked="0"/>
    </xf>
    <xf numFmtId="0" fontId="21" fillId="0" borderId="0" xfId="31" applyFont="1" applyAlignment="1" applyProtection="1">
      <alignment horizontal="center" vertical="center" wrapText="1"/>
      <protection locked="0"/>
    </xf>
    <xf numFmtId="0" fontId="19" fillId="0" borderId="0" xfId="31" applyFont="1" applyAlignment="1" applyProtection="1">
      <alignment horizontal="center" vertical="center" wrapText="1"/>
      <protection locked="0"/>
    </xf>
    <xf numFmtId="0" fontId="19" fillId="0" borderId="16" xfId="31" applyFont="1" applyBorder="1" applyAlignment="1" applyProtection="1">
      <alignment horizontal="center" vertical="center"/>
      <protection locked="0"/>
    </xf>
    <xf numFmtId="2" fontId="19" fillId="0" borderId="17" xfId="31" applyNumberFormat="1" applyFont="1" applyBorder="1" applyAlignment="1" applyProtection="1">
      <alignment horizontal="center" vertical="center"/>
      <protection locked="0"/>
    </xf>
    <xf numFmtId="44" fontId="19" fillId="0" borderId="30" xfId="33" applyFont="1" applyFill="1" applyBorder="1" applyAlignment="1" applyProtection="1">
      <alignment horizontal="center" vertical="center"/>
      <protection locked="0"/>
    </xf>
    <xf numFmtId="1" fontId="19" fillId="0" borderId="0" xfId="31" applyNumberFormat="1" applyFont="1" applyAlignment="1" applyProtection="1">
      <alignment horizontal="center" vertical="center"/>
      <protection locked="0"/>
    </xf>
    <xf numFmtId="44" fontId="19" fillId="0" borderId="0" xfId="33" applyFont="1" applyFill="1" applyBorder="1" applyAlignment="1" applyProtection="1">
      <alignment horizontal="center" vertical="center"/>
      <protection locked="0"/>
    </xf>
    <xf numFmtId="171" fontId="19" fillId="0" borderId="16" xfId="32" applyNumberFormat="1" applyFont="1" applyFill="1" applyBorder="1" applyAlignment="1" applyProtection="1">
      <alignment horizontal="center" vertical="center"/>
      <protection locked="0"/>
    </xf>
    <xf numFmtId="44" fontId="19" fillId="0" borderId="17" xfId="33" applyFont="1" applyFill="1" applyBorder="1" applyAlignment="1" applyProtection="1">
      <alignment horizontal="center" vertical="center"/>
      <protection locked="0"/>
    </xf>
    <xf numFmtId="44" fontId="19" fillId="0" borderId="16" xfId="33" applyFont="1" applyFill="1" applyBorder="1" applyAlignment="1" applyProtection="1">
      <alignment horizontal="center" vertical="center"/>
      <protection locked="0"/>
    </xf>
    <xf numFmtId="44" fontId="19" fillId="0" borderId="33" xfId="33" applyFont="1" applyFill="1" applyBorder="1" applyAlignment="1" applyProtection="1">
      <alignment horizontal="center" vertical="center"/>
      <protection locked="0"/>
    </xf>
    <xf numFmtId="0" fontId="66" fillId="0" borderId="0" xfId="31" applyFont="1" applyAlignment="1" applyProtection="1">
      <alignment horizontal="center" vertical="center"/>
      <protection locked="0"/>
    </xf>
    <xf numFmtId="0" fontId="68" fillId="14" borderId="0" xfId="31" applyFont="1" applyFill="1" applyAlignment="1" applyProtection="1">
      <alignment horizontal="center" vertical="center"/>
      <protection locked="0"/>
    </xf>
    <xf numFmtId="0" fontId="68" fillId="19" borderId="0" xfId="0" applyFont="1" applyFill="1" applyAlignment="1" applyProtection="1">
      <alignment horizontal="center" vertical="center"/>
      <protection locked="0"/>
    </xf>
    <xf numFmtId="0" fontId="56" fillId="19" borderId="0" xfId="0" applyFont="1" applyFill="1" applyAlignment="1" applyProtection="1">
      <alignment horizontal="center" vertical="center"/>
      <protection locked="0"/>
    </xf>
    <xf numFmtId="0" fontId="68" fillId="19" borderId="0" xfId="0" applyFont="1" applyFill="1" applyAlignment="1" applyProtection="1">
      <alignment horizontal="center" vertical="center" wrapText="1"/>
      <protection locked="0"/>
    </xf>
    <xf numFmtId="2" fontId="68" fillId="19" borderId="0" xfId="0" applyNumberFormat="1" applyFont="1" applyFill="1" applyProtection="1">
      <protection locked="0"/>
    </xf>
    <xf numFmtId="44" fontId="68" fillId="19" borderId="0" xfId="0" applyNumberFormat="1" applyFont="1" applyFill="1" applyAlignment="1" applyProtection="1">
      <alignment horizontal="center" vertical="center"/>
      <protection locked="0"/>
    </xf>
    <xf numFmtId="1" fontId="68" fillId="19" borderId="0" xfId="0" applyNumberFormat="1" applyFont="1" applyFill="1" applyAlignment="1" applyProtection="1">
      <alignment horizontal="center" vertical="center"/>
      <protection locked="0"/>
    </xf>
    <xf numFmtId="171" fontId="68" fillId="19" borderId="0" xfId="0" applyNumberFormat="1" applyFont="1" applyFill="1" applyAlignment="1" applyProtection="1">
      <alignment horizontal="center" vertical="center"/>
      <protection locked="0"/>
    </xf>
    <xf numFmtId="0" fontId="68" fillId="0" borderId="0" xfId="31" applyFont="1" applyAlignment="1" applyProtection="1">
      <alignment horizontal="center" vertical="center"/>
      <protection locked="0"/>
    </xf>
    <xf numFmtId="0" fontId="58" fillId="14" borderId="0" xfId="31" applyFont="1" applyFill="1" applyProtection="1">
      <protection locked="0"/>
    </xf>
    <xf numFmtId="168" fontId="58" fillId="14" borderId="0" xfId="32" applyNumberFormat="1" applyFont="1" applyFill="1" applyProtection="1">
      <protection locked="0"/>
    </xf>
    <xf numFmtId="168" fontId="58" fillId="0" borderId="0" xfId="32" applyNumberFormat="1" applyFont="1" applyFill="1" applyProtection="1">
      <protection locked="0"/>
    </xf>
    <xf numFmtId="0" fontId="58" fillId="0" borderId="0" xfId="31" applyFont="1" applyProtection="1">
      <protection locked="0"/>
    </xf>
    <xf numFmtId="10" fontId="58" fillId="0" borderId="0" xfId="31" applyNumberFormat="1" applyFont="1" applyProtection="1">
      <protection locked="0"/>
    </xf>
    <xf numFmtId="0" fontId="67" fillId="14" borderId="0" xfId="31" applyFont="1" applyFill="1" applyProtection="1">
      <protection locked="0"/>
    </xf>
    <xf numFmtId="168" fontId="19" fillId="14" borderId="0" xfId="32" applyNumberFormat="1" applyFont="1" applyFill="1" applyProtection="1">
      <protection locked="0"/>
    </xf>
    <xf numFmtId="168" fontId="19" fillId="0" borderId="0" xfId="32" applyNumberFormat="1" applyFont="1" applyFill="1" applyProtection="1">
      <protection locked="0"/>
    </xf>
    <xf numFmtId="0" fontId="67" fillId="0" borderId="0" xfId="31" applyFont="1" applyProtection="1">
      <protection locked="0"/>
    </xf>
    <xf numFmtId="0" fontId="67" fillId="14" borderId="0" xfId="31" applyFont="1" applyFill="1" applyAlignment="1" applyProtection="1">
      <alignment horizontal="center"/>
      <protection locked="0"/>
    </xf>
    <xf numFmtId="2" fontId="67" fillId="14" borderId="0" xfId="31" applyNumberFormat="1" applyFont="1" applyFill="1" applyProtection="1">
      <protection locked="0"/>
    </xf>
    <xf numFmtId="44" fontId="19" fillId="14" borderId="0" xfId="33" applyFont="1" applyFill="1" applyProtection="1">
      <protection locked="0"/>
    </xf>
    <xf numFmtId="1" fontId="67" fillId="14" borderId="0" xfId="31" applyNumberFormat="1" applyFont="1" applyFill="1" applyProtection="1">
      <protection locked="0"/>
    </xf>
    <xf numFmtId="44" fontId="19" fillId="14" borderId="0" xfId="32" applyNumberFormat="1" applyFont="1" applyFill="1" applyProtection="1">
      <protection locked="0"/>
    </xf>
    <xf numFmtId="0" fontId="67" fillId="0" borderId="0" xfId="31" applyFont="1" applyAlignment="1" applyProtection="1">
      <alignment horizontal="center"/>
      <protection locked="0"/>
    </xf>
    <xf numFmtId="2" fontId="67" fillId="0" borderId="0" xfId="31" applyNumberFormat="1" applyFont="1" applyProtection="1">
      <protection locked="0"/>
    </xf>
    <xf numFmtId="44" fontId="19" fillId="0" borderId="0" xfId="33" applyFont="1" applyFill="1" applyProtection="1">
      <protection locked="0"/>
    </xf>
    <xf numFmtId="1" fontId="67" fillId="0" borderId="0" xfId="31" applyNumberFormat="1" applyFont="1" applyProtection="1">
      <protection locked="0"/>
    </xf>
    <xf numFmtId="44" fontId="19" fillId="0" borderId="0" xfId="32" applyNumberFormat="1" applyFont="1" applyFill="1" applyProtection="1">
      <protection locked="0"/>
    </xf>
    <xf numFmtId="44" fontId="2" fillId="0" borderId="0" xfId="33" applyFont="1" applyFill="1" applyBorder="1" applyAlignment="1" applyProtection="1">
      <alignment horizontal="center" vertical="center"/>
    </xf>
    <xf numFmtId="44" fontId="2" fillId="0" borderId="17" xfId="33" applyFont="1" applyFill="1" applyBorder="1" applyAlignment="1" applyProtection="1">
      <alignment horizontal="center" vertical="center"/>
    </xf>
    <xf numFmtId="44" fontId="2" fillId="0" borderId="16" xfId="33" applyFont="1" applyFill="1" applyBorder="1" applyAlignment="1" applyProtection="1">
      <alignment horizontal="center" vertical="center"/>
    </xf>
    <xf numFmtId="168" fontId="2" fillId="0" borderId="0" xfId="1" applyNumberFormat="1" applyFont="1" applyFill="1" applyBorder="1" applyAlignment="1" applyProtection="1">
      <alignment horizontal="center" vertical="center"/>
    </xf>
    <xf numFmtId="168" fontId="2" fillId="0" borderId="17" xfId="32" applyNumberFormat="1" applyFont="1" applyFill="1" applyBorder="1" applyAlignment="1" applyProtection="1">
      <alignment horizontal="center" vertical="center"/>
    </xf>
    <xf numFmtId="168" fontId="2" fillId="0" borderId="0" xfId="32" applyNumberFormat="1" applyFont="1" applyFill="1" applyBorder="1" applyAlignment="1" applyProtection="1">
      <alignment horizontal="center" vertical="center"/>
    </xf>
    <xf numFmtId="168" fontId="64" fillId="19" borderId="36" xfId="32" applyNumberFormat="1" applyFont="1" applyFill="1" applyBorder="1" applyAlignment="1" applyProtection="1">
      <alignment horizontal="center" vertical="center"/>
    </xf>
    <xf numFmtId="168" fontId="7" fillId="0" borderId="17" xfId="32" applyNumberFormat="1" applyFont="1" applyFill="1" applyBorder="1" applyAlignment="1" applyProtection="1">
      <alignment horizontal="center" vertical="center"/>
    </xf>
    <xf numFmtId="0" fontId="2" fillId="16" borderId="0" xfId="0" applyFont="1" applyFill="1"/>
    <xf numFmtId="0" fontId="67" fillId="16" borderId="0" xfId="31" applyFont="1" applyFill="1"/>
    <xf numFmtId="2" fontId="58" fillId="16" borderId="0" xfId="31" applyNumberFormat="1" applyFont="1" applyFill="1"/>
    <xf numFmtId="44" fontId="58" fillId="16" borderId="0" xfId="33" applyFont="1" applyFill="1" applyProtection="1"/>
    <xf numFmtId="1" fontId="58" fillId="16" borderId="0" xfId="31" applyNumberFormat="1" applyFont="1" applyFill="1"/>
    <xf numFmtId="0" fontId="58" fillId="16" borderId="0" xfId="31" applyFont="1" applyFill="1"/>
    <xf numFmtId="10" fontId="58" fillId="16" borderId="0" xfId="31" applyNumberFormat="1" applyFont="1" applyFill="1"/>
    <xf numFmtId="168" fontId="58" fillId="16" borderId="0" xfId="32" applyNumberFormat="1" applyFont="1" applyFill="1" applyProtection="1"/>
    <xf numFmtId="44" fontId="58" fillId="16" borderId="0" xfId="32" applyNumberFormat="1" applyFont="1" applyFill="1" applyProtection="1"/>
    <xf numFmtId="2" fontId="67" fillId="16" borderId="0" xfId="31" applyNumberFormat="1" applyFont="1" applyFill="1"/>
    <xf numFmtId="44" fontId="19" fillId="16" borderId="0" xfId="33" applyFont="1" applyFill="1" applyProtection="1"/>
    <xf numFmtId="1" fontId="67" fillId="16" borderId="0" xfId="31" applyNumberFormat="1" applyFont="1" applyFill="1"/>
    <xf numFmtId="168" fontId="19" fillId="16" borderId="0" xfId="32" applyNumberFormat="1" applyFont="1" applyFill="1" applyProtection="1"/>
    <xf numFmtId="44" fontId="19" fillId="16" borderId="0" xfId="32" applyNumberFormat="1" applyFont="1" applyFill="1" applyProtection="1"/>
    <xf numFmtId="0" fontId="67" fillId="16" borderId="0" xfId="31" applyFont="1" applyFill="1" applyAlignment="1">
      <alignment horizontal="center"/>
    </xf>
    <xf numFmtId="164" fontId="19" fillId="14" borderId="14" xfId="4" applyFont="1" applyFill="1" applyBorder="1" applyAlignment="1" applyProtection="1">
      <alignment horizontal="center"/>
    </xf>
    <xf numFmtId="168" fontId="19" fillId="14" borderId="0" xfId="1" applyNumberFormat="1" applyFont="1" applyFill="1" applyAlignment="1" applyProtection="1">
      <alignment horizontal="left" indent="1"/>
      <protection locked="0"/>
    </xf>
    <xf numFmtId="0" fontId="2" fillId="16" borderId="0" xfId="0" applyFont="1" applyFill="1" applyAlignment="1">
      <alignment vertical="center"/>
    </xf>
    <xf numFmtId="49" fontId="55" fillId="17" borderId="8" xfId="31" applyNumberFormat="1" applyFont="1" applyFill="1" applyBorder="1" applyAlignment="1" applyProtection="1">
      <alignment horizontal="center" vertical="center"/>
      <protection locked="0"/>
    </xf>
    <xf numFmtId="49" fontId="21" fillId="0" borderId="0" xfId="31" applyNumberFormat="1" applyFont="1" applyAlignment="1" applyProtection="1">
      <alignment horizontal="center" vertical="center"/>
      <protection locked="0"/>
    </xf>
    <xf numFmtId="49" fontId="56" fillId="19" borderId="0" xfId="0" applyNumberFormat="1" applyFont="1" applyFill="1" applyAlignment="1" applyProtection="1">
      <alignment horizontal="center" vertical="center"/>
      <protection locked="0"/>
    </xf>
    <xf numFmtId="0" fontId="0" fillId="23" borderId="0" xfId="0" applyFill="1" applyProtection="1">
      <protection locked="0"/>
    </xf>
    <xf numFmtId="0" fontId="70" fillId="14" borderId="0" xfId="31" applyFont="1" applyFill="1"/>
    <xf numFmtId="0" fontId="70" fillId="14" borderId="0" xfId="31" applyFont="1" applyFill="1" applyProtection="1">
      <protection locked="0"/>
    </xf>
    <xf numFmtId="44" fontId="55" fillId="17" borderId="42" xfId="33" applyFont="1" applyFill="1" applyBorder="1" applyAlignment="1" applyProtection="1">
      <alignment horizontal="center" vertical="center" wrapText="1"/>
      <protection locked="0"/>
    </xf>
    <xf numFmtId="44" fontId="2" fillId="0" borderId="43" xfId="33" applyFont="1" applyFill="1" applyBorder="1" applyAlignment="1" applyProtection="1">
      <alignment horizontal="center" vertical="center"/>
    </xf>
    <xf numFmtId="0" fontId="21" fillId="14" borderId="0" xfId="31" applyFont="1" applyFill="1" applyAlignment="1" applyProtection="1">
      <alignment horizontal="left"/>
      <protection locked="0"/>
    </xf>
    <xf numFmtId="168" fontId="55" fillId="17" borderId="44" xfId="32" applyNumberFormat="1" applyFont="1" applyFill="1" applyBorder="1" applyAlignment="1" applyProtection="1">
      <alignment horizontal="center" vertical="center" wrapText="1"/>
      <protection locked="0"/>
    </xf>
    <xf numFmtId="44" fontId="55" fillId="17" borderId="45" xfId="33" applyFont="1" applyFill="1" applyBorder="1" applyAlignment="1" applyProtection="1">
      <alignment horizontal="center" vertical="center" wrapText="1"/>
      <protection locked="0"/>
    </xf>
    <xf numFmtId="168" fontId="7" fillId="0" borderId="46" xfId="32" applyNumberFormat="1" applyFont="1" applyFill="1" applyBorder="1" applyAlignment="1" applyProtection="1">
      <alignment horizontal="center" vertical="center"/>
    </xf>
    <xf numFmtId="44" fontId="2" fillId="0" borderId="47" xfId="33" applyFont="1" applyFill="1" applyBorder="1" applyAlignment="1" applyProtection="1">
      <alignment horizontal="center" vertical="center"/>
    </xf>
    <xf numFmtId="0" fontId="2" fillId="16" borderId="0" xfId="0" applyFont="1" applyFill="1" applyAlignment="1">
      <alignment horizontal="left" vertical="center" indent="4"/>
    </xf>
    <xf numFmtId="0" fontId="55" fillId="17" borderId="48" xfId="31" applyFont="1" applyFill="1" applyBorder="1" applyAlignment="1" applyProtection="1">
      <alignment horizontal="center" vertical="center" wrapText="1"/>
      <protection locked="0"/>
    </xf>
    <xf numFmtId="164" fontId="21" fillId="14" borderId="0" xfId="4" applyFont="1" applyFill="1" applyAlignment="1" applyProtection="1">
      <alignment horizontal="center"/>
    </xf>
    <xf numFmtId="169" fontId="21" fillId="24" borderId="2" xfId="35" applyNumberFormat="1" applyFont="1" applyFill="1" applyBorder="1" applyAlignment="1">
      <alignment horizontal="right" vertical="center" indent="1"/>
    </xf>
    <xf numFmtId="169" fontId="61" fillId="24" borderId="2" xfId="35" applyNumberFormat="1" applyFont="1" applyFill="1" applyBorder="1" applyAlignment="1">
      <alignment horizontal="right" vertical="center" indent="1"/>
    </xf>
    <xf numFmtId="173" fontId="7" fillId="14" borderId="3" xfId="1" applyNumberFormat="1" applyFont="1" applyFill="1" applyBorder="1" applyAlignment="1" applyProtection="1">
      <alignment horizontal="center" vertical="center"/>
      <protection locked="0"/>
    </xf>
    <xf numFmtId="164" fontId="19" fillId="14" borderId="3" xfId="4" applyFont="1" applyFill="1" applyBorder="1" applyAlignment="1" applyProtection="1">
      <alignment horizontal="center"/>
      <protection locked="0"/>
    </xf>
    <xf numFmtId="168" fontId="23" fillId="0" borderId="0" xfId="3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4" fontId="23" fillId="0" borderId="0" xfId="0" applyNumberFormat="1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0" fontId="55" fillId="17" borderId="35" xfId="35" applyFont="1" applyFill="1" applyBorder="1" applyAlignment="1">
      <alignment horizontal="right" vertical="center" indent="1"/>
    </xf>
    <xf numFmtId="0" fontId="2" fillId="16" borderId="0" xfId="0" applyFont="1" applyFill="1" applyAlignment="1">
      <alignment horizontal="left" indent="16"/>
    </xf>
    <xf numFmtId="0" fontId="16" fillId="16" borderId="0" xfId="34" applyFill="1" applyAlignment="1" applyProtection="1">
      <protection locked="0"/>
    </xf>
    <xf numFmtId="0" fontId="1" fillId="14" borderId="34" xfId="31" applyFont="1" applyFill="1" applyBorder="1"/>
    <xf numFmtId="174" fontId="7" fillId="14" borderId="3" xfId="1" applyNumberFormat="1" applyFont="1" applyFill="1" applyBorder="1" applyAlignment="1" applyProtection="1">
      <alignment horizontal="center" vertical="center"/>
      <protection locked="0"/>
    </xf>
    <xf numFmtId="2" fontId="27" fillId="14" borderId="3" xfId="35" applyNumberFormat="1" applyFont="1" applyFill="1" applyBorder="1" applyAlignment="1" applyProtection="1">
      <alignment horizontal="center" vertical="center"/>
      <protection locked="0"/>
    </xf>
    <xf numFmtId="175" fontId="43" fillId="19" borderId="3" xfId="35" applyNumberFormat="1" applyFont="1" applyFill="1" applyBorder="1" applyAlignment="1">
      <alignment horizontal="center" vertical="center"/>
    </xf>
    <xf numFmtId="176" fontId="61" fillId="14" borderId="3" xfId="35" applyNumberFormat="1" applyFont="1" applyFill="1" applyBorder="1" applyAlignment="1">
      <alignment horizontal="center" vertical="center"/>
    </xf>
    <xf numFmtId="0" fontId="43" fillId="17" borderId="1" xfId="0" applyFont="1" applyFill="1" applyBorder="1" applyAlignment="1" applyProtection="1">
      <alignment vertical="center"/>
      <protection locked="0"/>
    </xf>
    <xf numFmtId="0" fontId="43" fillId="17" borderId="35" xfId="0" applyFont="1" applyFill="1" applyBorder="1" applyAlignment="1" applyProtection="1">
      <alignment vertical="center"/>
      <protection locked="0"/>
    </xf>
    <xf numFmtId="0" fontId="2" fillId="18" borderId="16" xfId="35" applyFill="1" applyBorder="1" applyAlignment="1" applyProtection="1">
      <alignment vertical="center"/>
      <protection locked="0"/>
    </xf>
    <xf numFmtId="0" fontId="2" fillId="18" borderId="17" xfId="35" applyFill="1" applyBorder="1" applyAlignment="1" applyProtection="1">
      <alignment vertical="center"/>
      <protection locked="0"/>
    </xf>
    <xf numFmtId="0" fontId="72" fillId="17" borderId="28" xfId="0" applyFont="1" applyFill="1" applyBorder="1" applyAlignment="1">
      <alignment vertical="center"/>
    </xf>
    <xf numFmtId="0" fontId="72" fillId="17" borderId="19" xfId="0" applyFont="1" applyFill="1" applyBorder="1" applyAlignment="1">
      <alignment vertical="center"/>
    </xf>
    <xf numFmtId="0" fontId="72" fillId="17" borderId="20" xfId="0" applyFont="1" applyFill="1" applyBorder="1" applyAlignment="1">
      <alignment vertical="center"/>
    </xf>
    <xf numFmtId="0" fontId="0" fillId="14" borderId="0" xfId="0" applyFill="1"/>
    <xf numFmtId="0" fontId="71" fillId="17" borderId="16" xfId="35" applyFont="1" applyFill="1" applyBorder="1" applyAlignment="1">
      <alignment horizontal="center"/>
    </xf>
    <xf numFmtId="0" fontId="71" fillId="17" borderId="0" xfId="35" applyFont="1" applyFill="1" applyAlignment="1">
      <alignment horizontal="center"/>
    </xf>
    <xf numFmtId="0" fontId="71" fillId="17" borderId="17" xfId="35" applyFont="1" applyFill="1" applyBorder="1" applyAlignment="1">
      <alignment horizontal="center"/>
    </xf>
    <xf numFmtId="0" fontId="46" fillId="14" borderId="50" xfId="0" applyFont="1" applyFill="1" applyBorder="1" applyAlignment="1">
      <alignment vertical="center"/>
    </xf>
    <xf numFmtId="0" fontId="46" fillId="14" borderId="51" xfId="0" applyFont="1" applyFill="1" applyBorder="1" applyAlignment="1">
      <alignment vertical="center"/>
    </xf>
    <xf numFmtId="0" fontId="46" fillId="14" borderId="52" xfId="0" applyFont="1" applyFill="1" applyBorder="1" applyAlignment="1">
      <alignment vertical="center"/>
    </xf>
    <xf numFmtId="0" fontId="46" fillId="14" borderId="53" xfId="0" applyFont="1" applyFill="1" applyBorder="1" applyAlignment="1">
      <alignment vertical="center"/>
    </xf>
    <xf numFmtId="0" fontId="46" fillId="14" borderId="54" xfId="0" applyFont="1" applyFill="1" applyBorder="1" applyAlignment="1">
      <alignment vertical="center"/>
    </xf>
    <xf numFmtId="0" fontId="46" fillId="14" borderId="55" xfId="0" applyFont="1" applyFill="1" applyBorder="1" applyAlignment="1">
      <alignment vertical="center"/>
    </xf>
    <xf numFmtId="0" fontId="46" fillId="14" borderId="56" xfId="0" applyFont="1" applyFill="1" applyBorder="1" applyAlignment="1">
      <alignment vertical="center"/>
    </xf>
    <xf numFmtId="0" fontId="46" fillId="14" borderId="57" xfId="0" applyFont="1" applyFill="1" applyBorder="1" applyAlignment="1">
      <alignment vertical="center"/>
    </xf>
    <xf numFmtId="0" fontId="46" fillId="14" borderId="58" xfId="0" applyFont="1" applyFill="1" applyBorder="1" applyAlignment="1">
      <alignment vertical="center"/>
    </xf>
    <xf numFmtId="0" fontId="2" fillId="16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75" fillId="28" borderId="0" xfId="0" applyFont="1" applyFill="1" applyProtection="1">
      <protection locked="0"/>
    </xf>
    <xf numFmtId="0" fontId="46" fillId="29" borderId="0" xfId="0" applyFont="1" applyFill="1"/>
    <xf numFmtId="0" fontId="19" fillId="18" borderId="16" xfId="35" applyFont="1" applyFill="1" applyBorder="1" applyAlignment="1" applyProtection="1">
      <alignment horizontal="center"/>
      <protection locked="0"/>
    </xf>
    <xf numFmtId="0" fontId="19" fillId="18" borderId="17" xfId="35" applyFont="1" applyFill="1" applyBorder="1" applyAlignment="1" applyProtection="1">
      <alignment horizontal="center"/>
      <protection locked="0"/>
    </xf>
    <xf numFmtId="0" fontId="19" fillId="18" borderId="13" xfId="35" applyFont="1" applyFill="1" applyBorder="1" applyAlignment="1" applyProtection="1">
      <alignment horizontal="center"/>
      <protection locked="0"/>
    </xf>
    <xf numFmtId="0" fontId="19" fillId="18" borderId="14" xfId="35" applyFont="1" applyFill="1" applyBorder="1" applyAlignment="1" applyProtection="1">
      <alignment horizontal="center"/>
      <protection locked="0"/>
    </xf>
    <xf numFmtId="0" fontId="19" fillId="18" borderId="15" xfId="35" applyFont="1" applyFill="1" applyBorder="1" applyAlignment="1" applyProtection="1">
      <alignment horizontal="center"/>
      <protection locked="0"/>
    </xf>
    <xf numFmtId="0" fontId="55" fillId="17" borderId="3" xfId="35" applyFont="1" applyFill="1" applyBorder="1" applyAlignment="1">
      <alignment horizontal="right" vertical="center" indent="1"/>
    </xf>
    <xf numFmtId="0" fontId="9" fillId="18" borderId="0" xfId="35" applyFont="1" applyFill="1" applyAlignment="1" applyProtection="1">
      <alignment horizontal="left" vertical="center"/>
      <protection locked="0"/>
    </xf>
    <xf numFmtId="0" fontId="43" fillId="17" borderId="35" xfId="35" applyFont="1" applyFill="1" applyBorder="1" applyAlignment="1" applyProtection="1">
      <alignment horizontal="left" vertical="center" indent="1"/>
      <protection locked="0"/>
    </xf>
    <xf numFmtId="0" fontId="43" fillId="17" borderId="1" xfId="35" applyFont="1" applyFill="1" applyBorder="1" applyAlignment="1" applyProtection="1">
      <alignment horizontal="left" vertical="center" indent="1"/>
      <protection locked="0"/>
    </xf>
    <xf numFmtId="0" fontId="43" fillId="17" borderId="3" xfId="35" applyFont="1" applyFill="1" applyBorder="1" applyAlignment="1" applyProtection="1">
      <alignment horizontal="right" vertical="center" indent="1"/>
      <protection locked="0"/>
    </xf>
    <xf numFmtId="0" fontId="43" fillId="17" borderId="35" xfId="35" applyFont="1" applyFill="1" applyBorder="1" applyAlignment="1" applyProtection="1">
      <alignment vertical="center"/>
      <protection locked="0"/>
    </xf>
    <xf numFmtId="0" fontId="43" fillId="17" borderId="1" xfId="35" applyFont="1" applyFill="1" applyBorder="1" applyAlignment="1" applyProtection="1">
      <alignment vertical="center"/>
      <protection locked="0"/>
    </xf>
    <xf numFmtId="0" fontId="55" fillId="17" borderId="1" xfId="35" applyFont="1" applyFill="1" applyBorder="1" applyAlignment="1" applyProtection="1">
      <alignment vertical="center"/>
      <protection locked="0"/>
    </xf>
    <xf numFmtId="0" fontId="2" fillId="16" borderId="0" xfId="35" applyFill="1" applyAlignment="1">
      <alignment horizontal="left" vertical="center" indent="4"/>
    </xf>
    <xf numFmtId="0" fontId="46" fillId="14" borderId="0" xfId="0" applyFont="1" applyFill="1"/>
    <xf numFmtId="0" fontId="44" fillId="14" borderId="0" xfId="0" applyFont="1" applyFill="1"/>
    <xf numFmtId="0" fontId="72" fillId="17" borderId="3" xfId="0" applyFont="1" applyFill="1" applyBorder="1" applyAlignment="1">
      <alignment vertical="center"/>
    </xf>
    <xf numFmtId="10" fontId="44" fillId="16" borderId="16" xfId="0" applyNumberFormat="1" applyFont="1" applyFill="1" applyBorder="1" applyAlignment="1">
      <alignment horizontal="left" vertical="center"/>
    </xf>
    <xf numFmtId="10" fontId="44" fillId="16" borderId="13" xfId="0" applyNumberFormat="1" applyFont="1" applyFill="1" applyBorder="1" applyAlignment="1">
      <alignment horizontal="left" vertical="center"/>
    </xf>
    <xf numFmtId="0" fontId="16" fillId="14" borderId="0" xfId="34" applyFill="1" applyAlignment="1">
      <alignment horizontal="left"/>
    </xf>
    <xf numFmtId="0" fontId="44" fillId="14" borderId="0" xfId="0" applyFont="1" applyFill="1" applyAlignment="1">
      <alignment horizontal="left"/>
    </xf>
    <xf numFmtId="0" fontId="2" fillId="16" borderId="0" xfId="0" applyFont="1" applyFill="1" applyAlignment="1">
      <alignment horizontal="left" indent="5"/>
    </xf>
    <xf numFmtId="2" fontId="46" fillId="14" borderId="3" xfId="0" applyNumberFormat="1" applyFont="1" applyFill="1" applyBorder="1"/>
    <xf numFmtId="179" fontId="46" fillId="14" borderId="3" xfId="0" applyNumberFormat="1" applyFont="1" applyFill="1" applyBorder="1"/>
    <xf numFmtId="179" fontId="46" fillId="16" borderId="3" xfId="0" applyNumberFormat="1" applyFont="1" applyFill="1" applyBorder="1"/>
    <xf numFmtId="178" fontId="44" fillId="14" borderId="3" xfId="0" applyNumberFormat="1" applyFont="1" applyFill="1" applyBorder="1" applyAlignment="1">
      <alignment horizontal="center"/>
    </xf>
    <xf numFmtId="174" fontId="46" fillId="16" borderId="3" xfId="1" applyNumberFormat="1" applyFont="1" applyFill="1" applyBorder="1"/>
    <xf numFmtId="10" fontId="44" fillId="16" borderId="19" xfId="0" applyNumberFormat="1" applyFont="1" applyFill="1" applyBorder="1" applyAlignment="1">
      <alignment horizontal="left" vertical="center"/>
    </xf>
    <xf numFmtId="0" fontId="7" fillId="14" borderId="2" xfId="35" applyFont="1" applyFill="1" applyBorder="1" applyAlignment="1" applyProtection="1">
      <alignment horizontal="center" vertical="center"/>
      <protection locked="0"/>
    </xf>
    <xf numFmtId="0" fontId="7" fillId="14" borderId="1" xfId="35" applyFont="1" applyFill="1" applyBorder="1" applyAlignment="1" applyProtection="1">
      <alignment horizontal="center" vertical="center"/>
      <protection locked="0"/>
    </xf>
    <xf numFmtId="10" fontId="7" fillId="14" borderId="2" xfId="1" applyNumberFormat="1" applyFont="1" applyFill="1" applyBorder="1" applyAlignment="1" applyProtection="1">
      <alignment horizontal="center" vertical="center"/>
      <protection locked="0"/>
    </xf>
    <xf numFmtId="10" fontId="7" fillId="14" borderId="35" xfId="1" applyNumberFormat="1" applyFont="1" applyFill="1" applyBorder="1" applyAlignment="1" applyProtection="1">
      <alignment horizontal="center" vertical="center"/>
      <protection locked="0"/>
    </xf>
    <xf numFmtId="10" fontId="7" fillId="14" borderId="1" xfId="1" applyNumberFormat="1" applyFont="1" applyFill="1" applyBorder="1" applyAlignment="1" applyProtection="1">
      <alignment horizontal="center" vertical="center"/>
      <protection locked="0"/>
    </xf>
    <xf numFmtId="165" fontId="7" fillId="14" borderId="2" xfId="0" applyNumberFormat="1" applyFont="1" applyFill="1" applyBorder="1" applyAlignment="1" applyProtection="1">
      <alignment horizontal="center" vertical="center"/>
      <protection locked="0"/>
    </xf>
    <xf numFmtId="165" fontId="7" fillId="14" borderId="35" xfId="0" applyNumberFormat="1" applyFont="1" applyFill="1" applyBorder="1" applyAlignment="1" applyProtection="1">
      <alignment horizontal="center" vertical="center"/>
      <protection locked="0"/>
    </xf>
    <xf numFmtId="165" fontId="7" fillId="14" borderId="1" xfId="0" applyNumberFormat="1" applyFont="1" applyFill="1" applyBorder="1" applyAlignment="1" applyProtection="1">
      <alignment horizontal="center" vertical="center"/>
      <protection locked="0"/>
    </xf>
    <xf numFmtId="0" fontId="38" fillId="17" borderId="19" xfId="35" applyFont="1" applyFill="1" applyBorder="1" applyAlignment="1">
      <alignment horizontal="center"/>
    </xf>
    <xf numFmtId="0" fontId="38" fillId="17" borderId="18" xfId="35" applyFont="1" applyFill="1" applyBorder="1" applyAlignment="1">
      <alignment horizontal="center"/>
    </xf>
    <xf numFmtId="0" fontId="38" fillId="17" borderId="20" xfId="35" applyFont="1" applyFill="1" applyBorder="1" applyAlignment="1">
      <alignment horizontal="center"/>
    </xf>
    <xf numFmtId="0" fontId="39" fillId="17" borderId="16" xfId="35" applyFont="1" applyFill="1" applyBorder="1" applyAlignment="1">
      <alignment horizontal="center" vertical="top"/>
    </xf>
    <xf numFmtId="0" fontId="39" fillId="17" borderId="0" xfId="35" applyFont="1" applyFill="1" applyAlignment="1">
      <alignment horizontal="center" vertical="top"/>
    </xf>
    <xf numFmtId="0" fontId="39" fillId="17" borderId="17" xfId="35" applyFont="1" applyFill="1" applyBorder="1" applyAlignment="1">
      <alignment horizontal="center" vertical="top"/>
    </xf>
    <xf numFmtId="167" fontId="7" fillId="24" borderId="35" xfId="35" applyNumberFormat="1" applyFont="1" applyFill="1" applyBorder="1" applyAlignment="1">
      <alignment horizontal="center" vertical="center"/>
    </xf>
    <xf numFmtId="167" fontId="7" fillId="24" borderId="1" xfId="35" applyNumberFormat="1" applyFont="1" applyFill="1" applyBorder="1" applyAlignment="1">
      <alignment horizontal="center" vertical="center"/>
    </xf>
    <xf numFmtId="170" fontId="7" fillId="14" borderId="35" xfId="0" applyNumberFormat="1" applyFont="1" applyFill="1" applyBorder="1" applyAlignment="1" applyProtection="1">
      <alignment horizontal="center" vertical="center"/>
      <protection locked="0"/>
    </xf>
    <xf numFmtId="170" fontId="7" fillId="14" borderId="1" xfId="0" applyNumberFormat="1" applyFont="1" applyFill="1" applyBorder="1" applyAlignment="1" applyProtection="1">
      <alignment horizontal="center" vertical="center"/>
      <protection locked="0"/>
    </xf>
    <xf numFmtId="49" fontId="7" fillId="14" borderId="2" xfId="0" applyNumberFormat="1" applyFont="1" applyFill="1" applyBorder="1" applyAlignment="1" applyProtection="1">
      <alignment horizontal="center" vertical="center"/>
      <protection locked="0"/>
    </xf>
    <xf numFmtId="49" fontId="7" fillId="14" borderId="35" xfId="0" applyNumberFormat="1" applyFont="1" applyFill="1" applyBorder="1" applyAlignment="1" applyProtection="1">
      <alignment horizontal="center" vertical="center"/>
      <protection locked="0"/>
    </xf>
    <xf numFmtId="49" fontId="7" fillId="14" borderId="1" xfId="0" applyNumberFormat="1" applyFont="1" applyFill="1" applyBorder="1" applyAlignment="1" applyProtection="1">
      <alignment horizontal="center" vertical="center"/>
      <protection locked="0"/>
    </xf>
    <xf numFmtId="4" fontId="7" fillId="24" borderId="35" xfId="35" applyNumberFormat="1" applyFont="1" applyFill="1" applyBorder="1" applyAlignment="1">
      <alignment horizontal="center" vertical="center"/>
    </xf>
    <xf numFmtId="4" fontId="7" fillId="24" borderId="1" xfId="35" applyNumberFormat="1" applyFont="1" applyFill="1" applyBorder="1" applyAlignment="1">
      <alignment horizontal="center" vertical="center"/>
    </xf>
    <xf numFmtId="4" fontId="27" fillId="24" borderId="35" xfId="35" applyNumberFormat="1" applyFont="1" applyFill="1" applyBorder="1" applyAlignment="1">
      <alignment horizontal="center" vertical="center"/>
    </xf>
    <xf numFmtId="4" fontId="27" fillId="24" borderId="1" xfId="35" applyNumberFormat="1" applyFont="1" applyFill="1" applyBorder="1" applyAlignment="1">
      <alignment horizontal="center" vertical="center"/>
    </xf>
    <xf numFmtId="0" fontId="21" fillId="20" borderId="2" xfId="35" applyFont="1" applyFill="1" applyBorder="1" applyAlignment="1">
      <alignment horizontal="left" vertical="center"/>
    </xf>
    <xf numFmtId="0" fontId="21" fillId="20" borderId="35" xfId="35" applyFont="1" applyFill="1" applyBorder="1" applyAlignment="1">
      <alignment horizontal="left" vertical="center"/>
    </xf>
    <xf numFmtId="0" fontId="21" fillId="20" borderId="1" xfId="35" applyFont="1" applyFill="1" applyBorder="1" applyAlignment="1">
      <alignment horizontal="left" vertical="center"/>
    </xf>
    <xf numFmtId="0" fontId="47" fillId="18" borderId="26" xfId="35" applyFont="1" applyFill="1" applyBorder="1" applyAlignment="1">
      <alignment horizontal="left" vertical="center" wrapText="1" indent="1"/>
    </xf>
    <xf numFmtId="0" fontId="47" fillId="18" borderId="0" xfId="35" applyFont="1" applyFill="1" applyAlignment="1">
      <alignment horizontal="left" vertical="center" wrapText="1" indent="1"/>
    </xf>
    <xf numFmtId="0" fontId="43" fillId="17" borderId="2" xfId="35" applyFont="1" applyFill="1" applyBorder="1" applyAlignment="1">
      <alignment horizontal="left" vertical="center" wrapText="1" indent="1"/>
    </xf>
    <xf numFmtId="0" fontId="43" fillId="17" borderId="35" xfId="35" applyFont="1" applyFill="1" applyBorder="1" applyAlignment="1">
      <alignment horizontal="left" vertical="center" wrapText="1" indent="1"/>
    </xf>
    <xf numFmtId="4" fontId="27" fillId="14" borderId="35" xfId="35" applyNumberFormat="1" applyFont="1" applyFill="1" applyBorder="1" applyAlignment="1" applyProtection="1">
      <alignment horizontal="center" vertical="center"/>
      <protection locked="0"/>
    </xf>
    <xf numFmtId="4" fontId="27" fillId="14" borderId="1" xfId="35" applyNumberFormat="1" applyFont="1" applyFill="1" applyBorder="1" applyAlignment="1" applyProtection="1">
      <alignment horizontal="center" vertical="center"/>
      <protection locked="0"/>
    </xf>
    <xf numFmtId="4" fontId="62" fillId="19" borderId="21" xfId="35" applyNumberFormat="1" applyFont="1" applyFill="1" applyBorder="1" applyAlignment="1">
      <alignment horizontal="center" vertical="center"/>
    </xf>
    <xf numFmtId="4" fontId="62" fillId="19" borderId="11" xfId="35" applyNumberFormat="1" applyFont="1" applyFill="1" applyBorder="1" applyAlignment="1">
      <alignment horizontal="center" vertical="center"/>
    </xf>
    <xf numFmtId="10" fontId="59" fillId="19" borderId="12" xfId="1" applyNumberFormat="1" applyFont="1" applyFill="1" applyBorder="1" applyAlignment="1" applyProtection="1">
      <alignment horizontal="center" vertical="center"/>
    </xf>
    <xf numFmtId="10" fontId="59" fillId="19" borderId="21" xfId="1" applyNumberFormat="1" applyFont="1" applyFill="1" applyBorder="1" applyAlignment="1" applyProtection="1">
      <alignment horizontal="center" vertical="center"/>
    </xf>
    <xf numFmtId="10" fontId="59" fillId="19" borderId="11" xfId="1" applyNumberFormat="1" applyFont="1" applyFill="1" applyBorder="1" applyAlignment="1" applyProtection="1">
      <alignment horizontal="center" vertical="center"/>
    </xf>
    <xf numFmtId="167" fontId="7" fillId="14" borderId="2" xfId="1" applyNumberFormat="1" applyFont="1" applyFill="1" applyBorder="1" applyAlignment="1" applyProtection="1">
      <alignment horizontal="center" vertical="center"/>
      <protection locked="0"/>
    </xf>
    <xf numFmtId="167" fontId="7" fillId="14" borderId="35" xfId="1" applyNumberFormat="1" applyFont="1" applyFill="1" applyBorder="1" applyAlignment="1" applyProtection="1">
      <alignment horizontal="center" vertical="center"/>
      <protection locked="0"/>
    </xf>
    <xf numFmtId="167" fontId="7" fillId="14" borderId="1" xfId="1" applyNumberFormat="1" applyFont="1" applyFill="1" applyBorder="1" applyAlignment="1" applyProtection="1">
      <alignment horizontal="center" vertical="center"/>
      <protection locked="0"/>
    </xf>
    <xf numFmtId="0" fontId="43" fillId="17" borderId="1" xfId="35" applyFont="1" applyFill="1" applyBorder="1" applyAlignment="1">
      <alignment horizontal="left" vertical="center" wrapText="1" indent="1"/>
    </xf>
    <xf numFmtId="0" fontId="2" fillId="18" borderId="35" xfId="35" applyFill="1" applyBorder="1" applyAlignment="1" applyProtection="1">
      <alignment horizontal="center"/>
      <protection locked="0"/>
    </xf>
    <xf numFmtId="0" fontId="2" fillId="18" borderId="35" xfId="0" applyFont="1" applyFill="1" applyBorder="1" applyAlignment="1" applyProtection="1">
      <alignment horizontal="center"/>
      <protection locked="0"/>
    </xf>
    <xf numFmtId="0" fontId="8" fillId="18" borderId="35" xfId="35" applyFont="1" applyFill="1" applyBorder="1" applyAlignment="1" applyProtection="1">
      <alignment horizontal="center" vertical="center"/>
      <protection locked="0"/>
    </xf>
    <xf numFmtId="0" fontId="4" fillId="18" borderId="35" xfId="35" applyFont="1" applyFill="1" applyBorder="1" applyAlignment="1" applyProtection="1">
      <alignment horizontal="center" vertical="center"/>
      <protection locked="0"/>
    </xf>
    <xf numFmtId="165" fontId="7" fillId="18" borderId="35" xfId="0" applyNumberFormat="1" applyFont="1" applyFill="1" applyBorder="1" applyAlignment="1" applyProtection="1">
      <alignment horizontal="center"/>
      <protection locked="0"/>
    </xf>
    <xf numFmtId="0" fontId="2" fillId="18" borderId="35" xfId="0" applyFont="1" applyFill="1" applyBorder="1" applyAlignment="1" applyProtection="1">
      <alignment horizontal="center" vertical="center"/>
      <protection locked="0"/>
    </xf>
    <xf numFmtId="170" fontId="2" fillId="18" borderId="35" xfId="0" applyNumberFormat="1" applyFont="1" applyFill="1" applyBorder="1" applyAlignment="1" applyProtection="1">
      <alignment horizontal="center" vertical="center"/>
      <protection locked="0"/>
    </xf>
    <xf numFmtId="0" fontId="14" fillId="13" borderId="4" xfId="0" applyFont="1" applyFill="1" applyBorder="1" applyAlignment="1">
      <alignment horizontal="left"/>
    </xf>
    <xf numFmtId="0" fontId="14" fillId="13" borderId="5" xfId="0" applyFont="1" applyFill="1" applyBorder="1" applyAlignment="1">
      <alignment horizontal="left"/>
    </xf>
    <xf numFmtId="0" fontId="14" fillId="13" borderId="6" xfId="0" applyFont="1" applyFill="1" applyBorder="1" applyAlignment="1">
      <alignment horizontal="left"/>
    </xf>
    <xf numFmtId="0" fontId="14" fillId="13" borderId="7" xfId="0" applyFont="1" applyFill="1" applyBorder="1" applyAlignment="1">
      <alignment horizontal="left"/>
    </xf>
    <xf numFmtId="0" fontId="14" fillId="13" borderId="8" xfId="0" applyFont="1" applyFill="1" applyBorder="1" applyAlignment="1">
      <alignment horizontal="left"/>
    </xf>
    <xf numFmtId="0" fontId="14" fillId="13" borderId="9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4" fillId="8" borderId="22" xfId="0" applyFont="1" applyFill="1" applyBorder="1" applyAlignment="1">
      <alignment horizontal="left" vertical="center"/>
    </xf>
    <xf numFmtId="0" fontId="4" fillId="8" borderId="23" xfId="0" applyFont="1" applyFill="1" applyBorder="1" applyAlignment="1">
      <alignment horizontal="left" vertical="center"/>
    </xf>
    <xf numFmtId="0" fontId="4" fillId="8" borderId="24" xfId="0" applyFont="1" applyFill="1" applyBorder="1" applyAlignment="1">
      <alignment horizontal="left" vertical="center"/>
    </xf>
    <xf numFmtId="0" fontId="4" fillId="8" borderId="25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9" fillId="2" borderId="4" xfId="0" applyFont="1" applyFill="1" applyBorder="1"/>
    <xf numFmtId="0" fontId="12" fillId="0" borderId="6" xfId="0" applyFont="1" applyBorder="1"/>
    <xf numFmtId="165" fontId="4" fillId="10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27" fillId="14" borderId="2" xfId="35" applyNumberFormat="1" applyFont="1" applyFill="1" applyBorder="1" applyAlignment="1" applyProtection="1">
      <alignment horizontal="center" vertical="center"/>
      <protection locked="0"/>
    </xf>
    <xf numFmtId="177" fontId="27" fillId="14" borderId="1" xfId="35" applyNumberFormat="1" applyFont="1" applyFill="1" applyBorder="1" applyAlignment="1" applyProtection="1">
      <alignment horizontal="center" vertical="center"/>
      <protection locked="0"/>
    </xf>
    <xf numFmtId="0" fontId="71" fillId="17" borderId="19" xfId="35" applyFont="1" applyFill="1" applyBorder="1" applyAlignment="1">
      <alignment horizontal="center"/>
    </xf>
    <xf numFmtId="0" fontId="71" fillId="17" borderId="18" xfId="35" applyFont="1" applyFill="1" applyBorder="1" applyAlignment="1">
      <alignment horizontal="center"/>
    </xf>
    <xf numFmtId="0" fontId="71" fillId="17" borderId="20" xfId="35" applyFont="1" applyFill="1" applyBorder="1" applyAlignment="1">
      <alignment horizontal="center"/>
    </xf>
    <xf numFmtId="165" fontId="7" fillId="14" borderId="2" xfId="35" applyNumberFormat="1" applyFont="1" applyFill="1" applyBorder="1" applyAlignment="1" applyProtection="1">
      <alignment horizontal="center" vertical="center"/>
      <protection locked="0"/>
    </xf>
    <xf numFmtId="165" fontId="7" fillId="14" borderId="35" xfId="35" applyNumberFormat="1" applyFont="1" applyFill="1" applyBorder="1" applyAlignment="1" applyProtection="1">
      <alignment horizontal="center" vertical="center"/>
      <protection locked="0"/>
    </xf>
    <xf numFmtId="165" fontId="7" fillId="14" borderId="1" xfId="35" applyNumberFormat="1" applyFont="1" applyFill="1" applyBorder="1" applyAlignment="1" applyProtection="1">
      <alignment horizontal="center" vertical="center"/>
      <protection locked="0"/>
    </xf>
    <xf numFmtId="49" fontId="7" fillId="14" borderId="2" xfId="35" applyNumberFormat="1" applyFont="1" applyFill="1" applyBorder="1" applyAlignment="1" applyProtection="1">
      <alignment horizontal="center" vertical="center"/>
      <protection locked="0"/>
    </xf>
    <xf numFmtId="49" fontId="7" fillId="14" borderId="35" xfId="35" applyNumberFormat="1" applyFont="1" applyFill="1" applyBorder="1" applyAlignment="1" applyProtection="1">
      <alignment horizontal="center" vertical="center"/>
      <protection locked="0"/>
    </xf>
    <xf numFmtId="49" fontId="7" fillId="14" borderId="1" xfId="35" applyNumberFormat="1" applyFont="1" applyFill="1" applyBorder="1" applyAlignment="1" applyProtection="1">
      <alignment horizontal="center" vertical="center"/>
      <protection locked="0"/>
    </xf>
    <xf numFmtId="177" fontId="27" fillId="24" borderId="2" xfId="35" applyNumberFormat="1" applyFont="1" applyFill="1" applyBorder="1" applyAlignment="1">
      <alignment horizontal="center" vertical="center"/>
    </xf>
    <xf numFmtId="177" fontId="27" fillId="24" borderId="35" xfId="35" applyNumberFormat="1" applyFont="1" applyFill="1" applyBorder="1" applyAlignment="1">
      <alignment horizontal="center" vertical="center"/>
    </xf>
    <xf numFmtId="177" fontId="27" fillId="24" borderId="1" xfId="35" applyNumberFormat="1" applyFont="1" applyFill="1" applyBorder="1" applyAlignment="1">
      <alignment horizontal="center" vertical="center"/>
    </xf>
    <xf numFmtId="175" fontId="43" fillId="19" borderId="3" xfId="35" quotePrefix="1" applyNumberFormat="1" applyFont="1" applyFill="1" applyBorder="1" applyAlignment="1">
      <alignment horizontal="center" vertical="center"/>
    </xf>
    <xf numFmtId="175" fontId="43" fillId="19" borderId="10" xfId="35" quotePrefix="1" applyNumberFormat="1" applyFont="1" applyFill="1" applyBorder="1" applyAlignment="1">
      <alignment horizontal="center" vertical="center" wrapText="1"/>
    </xf>
    <xf numFmtId="177" fontId="27" fillId="30" borderId="3" xfId="35" applyNumberFormat="1" applyFont="1" applyFill="1" applyBorder="1" applyAlignment="1">
      <alignment horizontal="center" vertical="center"/>
    </xf>
    <xf numFmtId="0" fontId="55" fillId="17" borderId="2" xfId="35" applyFont="1" applyFill="1" applyBorder="1" applyAlignment="1" applyProtection="1">
      <alignment horizontal="left" vertical="center" indent="1"/>
      <protection locked="0"/>
    </xf>
    <xf numFmtId="0" fontId="55" fillId="17" borderId="35" xfId="35" applyFont="1" applyFill="1" applyBorder="1" applyAlignment="1" applyProtection="1">
      <alignment horizontal="left" vertical="center" indent="1"/>
      <protection locked="0"/>
    </xf>
    <xf numFmtId="177" fontId="27" fillId="30" borderId="2" xfId="35" applyNumberFormat="1" applyFont="1" applyFill="1" applyBorder="1" applyAlignment="1">
      <alignment horizontal="center" vertical="center"/>
    </xf>
    <xf numFmtId="177" fontId="27" fillId="30" borderId="1" xfId="35" applyNumberFormat="1" applyFont="1" applyFill="1" applyBorder="1" applyAlignment="1">
      <alignment horizontal="center" vertical="center"/>
    </xf>
    <xf numFmtId="0" fontId="43" fillId="17" borderId="2" xfId="35" applyFont="1" applyFill="1" applyBorder="1" applyAlignment="1" applyProtection="1">
      <alignment horizontal="left" vertical="center" wrapText="1" indent="1"/>
      <protection locked="0"/>
    </xf>
    <xf numFmtId="0" fontId="43" fillId="17" borderId="35" xfId="35" applyFont="1" applyFill="1" applyBorder="1" applyAlignment="1" applyProtection="1">
      <alignment horizontal="left" vertical="center" indent="1"/>
      <protection locked="0"/>
    </xf>
    <xf numFmtId="177" fontId="27" fillId="30" borderId="27" xfId="35" applyNumberFormat="1" applyFont="1" applyFill="1" applyBorder="1" applyAlignment="1">
      <alignment horizontal="center" vertical="center"/>
    </xf>
    <xf numFmtId="175" fontId="43" fillId="17" borderId="3" xfId="35" quotePrefix="1" applyNumberFormat="1" applyFont="1" applyFill="1" applyBorder="1" applyAlignment="1">
      <alignment horizontal="center" vertical="center"/>
    </xf>
    <xf numFmtId="175" fontId="43" fillId="17" borderId="2" xfId="35" quotePrefix="1" applyNumberFormat="1" applyFont="1" applyFill="1" applyBorder="1" applyAlignment="1">
      <alignment horizontal="center" vertical="center"/>
    </xf>
    <xf numFmtId="175" fontId="43" fillId="17" borderId="59" xfId="35" quotePrefix="1" applyNumberFormat="1" applyFont="1" applyFill="1" applyBorder="1" applyAlignment="1">
      <alignment horizontal="center" vertical="center" wrapText="1"/>
    </xf>
    <xf numFmtId="175" fontId="43" fillId="17" borderId="60" xfId="35" quotePrefix="1" applyNumberFormat="1" applyFont="1" applyFill="1" applyBorder="1" applyAlignment="1">
      <alignment horizontal="center" vertical="center" wrapText="1"/>
    </xf>
    <xf numFmtId="175" fontId="43" fillId="17" borderId="1" xfId="35" quotePrefix="1" applyNumberFormat="1" applyFont="1" applyFill="1" applyBorder="1" applyAlignment="1">
      <alignment horizontal="center" vertical="center"/>
    </xf>
    <xf numFmtId="2" fontId="64" fillId="26" borderId="3" xfId="35" applyNumberFormat="1" applyFont="1" applyFill="1" applyBorder="1" applyAlignment="1">
      <alignment horizontal="center" vertical="center"/>
    </xf>
    <xf numFmtId="0" fontId="43" fillId="17" borderId="2" xfId="35" applyFont="1" applyFill="1" applyBorder="1" applyAlignment="1">
      <alignment horizontal="center" vertical="center" wrapText="1"/>
    </xf>
    <xf numFmtId="0" fontId="43" fillId="17" borderId="49" xfId="35" applyFont="1" applyFill="1" applyBorder="1" applyAlignment="1">
      <alignment horizontal="center" vertical="center" wrapText="1"/>
    </xf>
    <xf numFmtId="10" fontId="62" fillId="19" borderId="12" xfId="1" applyNumberFormat="1" applyFont="1" applyFill="1" applyBorder="1" applyAlignment="1" applyProtection="1">
      <alignment horizontal="center" vertical="center"/>
    </xf>
    <xf numFmtId="10" fontId="62" fillId="19" borderId="11" xfId="1" applyNumberFormat="1" applyFont="1" applyFill="1" applyBorder="1" applyAlignment="1" applyProtection="1">
      <alignment horizontal="center" vertical="center"/>
    </xf>
    <xf numFmtId="0" fontId="2" fillId="16" borderId="0" xfId="35" applyFill="1" applyAlignment="1">
      <alignment horizontal="center" vertical="center"/>
    </xf>
    <xf numFmtId="2" fontId="7" fillId="27" borderId="3" xfId="35" applyNumberFormat="1" applyFont="1" applyFill="1" applyBorder="1" applyAlignment="1">
      <alignment horizontal="center" vertical="center"/>
    </xf>
    <xf numFmtId="2" fontId="7" fillId="25" borderId="3" xfId="35" applyNumberFormat="1" applyFont="1" applyFill="1" applyBorder="1" applyAlignment="1">
      <alignment horizontal="center" vertical="center"/>
    </xf>
    <xf numFmtId="2" fontId="7" fillId="25" borderId="2" xfId="35" applyNumberFormat="1" applyFont="1" applyFill="1" applyBorder="1" applyAlignment="1">
      <alignment horizontal="center" vertical="center"/>
    </xf>
    <xf numFmtId="2" fontId="62" fillId="19" borderId="22" xfId="35" applyNumberFormat="1" applyFont="1" applyFill="1" applyBorder="1" applyAlignment="1">
      <alignment horizontal="center" vertical="center"/>
    </xf>
    <xf numFmtId="2" fontId="62" fillId="19" borderId="23" xfId="35" applyNumberFormat="1" applyFont="1" applyFill="1" applyBorder="1" applyAlignment="1">
      <alignment horizontal="center" vertical="center"/>
    </xf>
    <xf numFmtId="2" fontId="64" fillId="15" borderId="1" xfId="35" applyNumberFormat="1" applyFont="1" applyFill="1" applyBorder="1" applyAlignment="1">
      <alignment horizontal="center" vertical="center"/>
    </xf>
    <xf numFmtId="2" fontId="64" fillId="15" borderId="3" xfId="35" applyNumberFormat="1" applyFont="1" applyFill="1" applyBorder="1" applyAlignment="1">
      <alignment horizontal="center" vertical="center"/>
    </xf>
    <xf numFmtId="177" fontId="27" fillId="24" borderId="2" xfId="35" applyNumberFormat="1" applyFont="1" applyFill="1" applyBorder="1" applyAlignment="1" applyProtection="1">
      <alignment horizontal="center" vertical="center"/>
      <protection locked="0"/>
    </xf>
    <xf numFmtId="177" fontId="27" fillId="24" borderId="35" xfId="35" applyNumberFormat="1" applyFont="1" applyFill="1" applyBorder="1" applyAlignment="1" applyProtection="1">
      <alignment horizontal="center" vertical="center"/>
      <protection locked="0"/>
    </xf>
    <xf numFmtId="177" fontId="27" fillId="24" borderId="1" xfId="35" applyNumberFormat="1" applyFont="1" applyFill="1" applyBorder="1" applyAlignment="1" applyProtection="1">
      <alignment horizontal="center" vertical="center"/>
      <protection locked="0"/>
    </xf>
    <xf numFmtId="0" fontId="34" fillId="15" borderId="0" xfId="31" applyFont="1" applyFill="1" applyAlignment="1">
      <alignment horizontal="center"/>
    </xf>
    <xf numFmtId="0" fontId="76" fillId="17" borderId="21" xfId="35" applyFont="1" applyFill="1" applyBorder="1" applyAlignment="1" applyProtection="1">
      <alignment horizontal="center" vertical="center"/>
      <protection locked="0"/>
    </xf>
    <xf numFmtId="0" fontId="76" fillId="17" borderId="0" xfId="35" applyFont="1" applyFill="1" applyAlignment="1" applyProtection="1">
      <alignment horizontal="center" vertical="center"/>
      <protection locked="0"/>
    </xf>
  </cellXfs>
  <cellStyles count="36">
    <cellStyle name="Currency" xfId="4" builtinId="4"/>
    <cellStyle name="Currency 2" xfId="33" xr:uid="{00000000-0005-0000-0000-000002000000}"/>
    <cellStyle name="Followed Hyperlink" xfId="3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2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4" builtinId="8"/>
    <cellStyle name="Normal" xfId="0" builtinId="0"/>
    <cellStyle name="Normal 2" xfId="5" xr:uid="{00000000-0005-0000-0000-00001E000000}"/>
    <cellStyle name="Normal 3" xfId="31" xr:uid="{00000000-0005-0000-0000-00001F000000}"/>
    <cellStyle name="Normal 4" xfId="35" xr:uid="{BF548EF8-150D-47CF-BBA8-E2DB9F5ED035}"/>
    <cellStyle name="Percent" xfId="1" builtinId="5"/>
    <cellStyle name="Percent 2" xfId="6" xr:uid="{00000000-0005-0000-0000-000021000000}"/>
    <cellStyle name="Percent 3" xfId="32" xr:uid="{00000000-0005-0000-0000-000022000000}"/>
  </cellStyles>
  <dxfs count="298">
    <dxf>
      <font>
        <color theme="0" tint="-0.14996795556505021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rgb="FF485D73"/>
      </font>
      <fill>
        <patternFill>
          <bgColor rgb="FF485D7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ck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AA945B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0" formatCode="@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0000"/>
          <bgColor rgb="FFAA945B"/>
        </patternFill>
      </fill>
      <protection locked="0" hidden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000000"/>
          <bgColor auto="1"/>
        </patternFill>
      </fill>
      <protection locked="0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485D73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rgb="FFFF0000"/>
        </left>
        <right style="medium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rgb="FFFF0000"/>
        </left>
        <right style="dashed">
          <color rgb="FFFF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>
        <right style="dashed">
          <color rgb="FFFF0000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Verdana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168" formatCode="0.0%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border diagonalUp="0" diagonalDown="0">
        <left/>
        <right style="medium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ck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71" formatCode="[$-409]dd\ mmm\ yy;@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[$-409]dd\ mmm\ 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AA945B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0" formatCode="@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AA945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AA945B"/>
        </patternFill>
      </fill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485D73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AA945B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945B"/>
      <color rgb="FF485D73"/>
      <color rgb="FFA8A8A8"/>
      <color rgb="FFEFECE1"/>
      <color rgb="FFBFBFBF"/>
      <color rgb="FFD9D9D9"/>
      <color rgb="FF0000FF"/>
      <color rgb="FFEEECE1"/>
      <color rgb="FF98ABBE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1" algn="ctr" rtl="0">
              <a:defRPr sz="975" b="0" i="0" u="none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Intrinsic Value Calculator </a:t>
            </a:r>
          </a:p>
          <a:p>
            <a:pPr lvl="1" algn="ctr" rtl="0">
              <a:defRPr sz="975" b="0" i="0" u="none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c:rich>
      </c:tx>
      <c:layout>
        <c:manualLayout>
          <c:xMode val="edge"/>
          <c:yMode val="edge"/>
          <c:x val="0.35969409797226753"/>
          <c:y val="4.10255776851422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96945686773595"/>
          <c:y val="0.18461596246482626"/>
          <c:w val="0.85076583598597777"/>
          <c:h val="0.55897610857405799"/>
        </c:manualLayout>
      </c:layout>
      <c:lineChart>
        <c:grouping val="standard"/>
        <c:varyColors val="0"/>
        <c:ser>
          <c:idx val="0"/>
          <c:order val="0"/>
          <c:tx>
            <c:v>Cash Flow (Projected)</c:v>
          </c:tx>
          <c:spPr>
            <a:ln w="12700">
              <a:solidFill>
                <a:srgbClr val="63AAFE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val>
            <c:numRef>
              <c:f>('VMI IV Calculator (20 years)'!$F$33:$O$33,'VMI IV Calculator (20 years)'!$F$38:$O$38)</c:f>
              <c:numCache>
                <c:formatCode>"$"#,##0.00</c:formatCode>
                <c:ptCount val="20"/>
                <c:pt idx="0">
                  <c:v>118690.51392</c:v>
                </c:pt>
                <c:pt idx="1">
                  <c:v>139437.615753216</c:v>
                </c:pt>
                <c:pt idx="2">
                  <c:v>163811.31098687818</c:v>
                </c:pt>
                <c:pt idx="3">
                  <c:v>192445.5281473845</c:v>
                </c:pt>
                <c:pt idx="4">
                  <c:v>226085.00646754733</c:v>
                </c:pt>
                <c:pt idx="5">
                  <c:v>259997.75743767939</c:v>
                </c:pt>
                <c:pt idx="6">
                  <c:v>298997.42105333129</c:v>
                </c:pt>
                <c:pt idx="7">
                  <c:v>343847.03421133093</c:v>
                </c:pt>
                <c:pt idx="8">
                  <c:v>395424.08934303053</c:v>
                </c:pt>
                <c:pt idx="9">
                  <c:v>454737.70274448505</c:v>
                </c:pt>
                <c:pt idx="10">
                  <c:v>472927.2108542645</c:v>
                </c:pt>
                <c:pt idx="11">
                  <c:v>491844.29928843508</c:v>
                </c:pt>
                <c:pt idx="12">
                  <c:v>511518.07125997252</c:v>
                </c:pt>
                <c:pt idx="13">
                  <c:v>531978.7941103715</c:v>
                </c:pt>
                <c:pt idx="14">
                  <c:v>553257.94587478635</c:v>
                </c:pt>
                <c:pt idx="15">
                  <c:v>575388.26370977785</c:v>
                </c:pt>
                <c:pt idx="16">
                  <c:v>598403.79425816901</c:v>
                </c:pt>
                <c:pt idx="17">
                  <c:v>622339.94602849579</c:v>
                </c:pt>
                <c:pt idx="18">
                  <c:v>647233.54386963567</c:v>
                </c:pt>
                <c:pt idx="19">
                  <c:v>673122.88562442118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D-459F-80F5-7332BB60B3C9}"/>
            </c:ext>
          </c:extLst>
        </c:ser>
        <c:ser>
          <c:idx val="1"/>
          <c:order val="1"/>
          <c:tx>
            <c:v>Cash Flow (Discounted)</c:v>
          </c:tx>
          <c:spPr>
            <a:ln w="12700">
              <a:solidFill>
                <a:srgbClr val="DD2D3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c:spPr>
          </c:marker>
          <c:val>
            <c:numRef>
              <c:f>('VMI IV Calculator (20 years)'!$F$35:$O$35,'VMI IV Calculator (20 years)'!$F$40:$O$40)</c:f>
              <c:numCache>
                <c:formatCode>"$"#,##0.00</c:formatCode>
                <c:ptCount val="20"/>
                <c:pt idx="0">
                  <c:v>111331.501660257</c:v>
                </c:pt>
                <c:pt idx="1">
                  <c:v>122682.90793590651</c:v>
                </c:pt>
                <c:pt idx="2">
                  <c:v>135191.70832295562</c:v>
                </c:pt>
                <c:pt idx="3">
                  <c:v>148975.91120702398</c:v>
                </c:pt>
                <c:pt idx="4">
                  <c:v>164165.55715787614</c:v>
                </c:pt>
                <c:pt idx="5">
                  <c:v>177085.067753079</c:v>
                </c:pt>
                <c:pt idx="6">
                  <c:v>191021.31874687257</c:v>
                </c:pt>
                <c:pt idx="7">
                  <c:v>206054.32563446523</c:v>
                </c:pt>
                <c:pt idx="8">
                  <c:v>222270.40097517584</c:v>
                </c:pt>
                <c:pt idx="9">
                  <c:v>239762.64995915222</c:v>
                </c:pt>
                <c:pt idx="10">
                  <c:v>233892.83928104147</c:v>
                </c:pt>
                <c:pt idx="11">
                  <c:v>228166.73187532419</c:v>
                </c:pt>
                <c:pt idx="12">
                  <c:v>222580.80963355894</c:v>
                </c:pt>
                <c:pt idx="13">
                  <c:v>217131.64057677638</c:v>
                </c:pt>
                <c:pt idx="14">
                  <c:v>211815.87674687873</c:v>
                </c:pt>
                <c:pt idx="15">
                  <c:v>206630.25214966128</c:v>
                </c:pt>
                <c:pt idx="16">
                  <c:v>201571.58074819224</c:v>
                </c:pt>
                <c:pt idx="17">
                  <c:v>196636.75450531836</c:v>
                </c:pt>
                <c:pt idx="18">
                  <c:v>191822.74147409352</c:v>
                </c:pt>
                <c:pt idx="19">
                  <c:v>187126.58393495664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D-459F-80F5-7332BB60B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9792"/>
        <c:axId val="97665024"/>
      </c:lineChart>
      <c:catAx>
        <c:axId val="9764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85752444661159"/>
              <c:y val="0.861541248520407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65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6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2.4234664251039397E-2"/>
              <c:y val="0.37436014615820146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49792"/>
        <c:crosses val="autoZero"/>
        <c:crossBetween val="between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3.0803050939117978E-3"/>
          <c:y val="0.852398396243635"/>
          <c:w val="0.18477814333358705"/>
          <c:h val="0.128390748031496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89" r="0.75000000000000089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- Breakdown by Category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2"/>
          <c:tx>
            <c:strRef>
              <c:f>'VMI Portfolio Dashboard'!$E$106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5-4C70-BF64-941865290DFE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5-4C70-BF64-941865290DFE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5-4C70-BF64-941865290DFE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35-4C70-BF64-941865290DFE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35-4C70-BF64-941865290DFE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35-4C70-BF64-941865290DFE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435-4C70-BF64-941865290DFE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Dashboard'!$B$107:$B$115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Dashboard'!$E$107:$E$115</c:f>
              <c:numCache>
                <c:formatCode>0.0%</c:formatCode>
                <c:ptCount val="9"/>
                <c:pt idx="0">
                  <c:v>5.5498547633025502E-2</c:v>
                </c:pt>
                <c:pt idx="1">
                  <c:v>0</c:v>
                </c:pt>
                <c:pt idx="2">
                  <c:v>0</c:v>
                </c:pt>
                <c:pt idx="3">
                  <c:v>0.11210557417233044</c:v>
                </c:pt>
                <c:pt idx="4">
                  <c:v>0.57695499987894461</c:v>
                </c:pt>
                <c:pt idx="5">
                  <c:v>0</c:v>
                </c:pt>
                <c:pt idx="6">
                  <c:v>0.25544087831569939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35-4C70-BF64-941865290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v>#REF!</c:v>
                </c:tx>
                <c:dPt>
                  <c:idx val="0"/>
                  <c:bubble3D val="0"/>
                  <c:spPr>
                    <a:solidFill>
                      <a:schemeClr val="accent1">
                        <a:shade val="47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7435-4C70-BF64-941865290DF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6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7435-4C70-BF64-941865290DF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shade val="82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7435-4C70-BF64-941865290DF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7435-4C70-BF64-941865290DF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83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7435-4C70-BF64-941865290DF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1">
                        <a:tint val="6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7435-4C70-BF64-941865290DFE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tint val="48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7435-4C70-BF64-941865290DFE}"/>
                    </c:ext>
                  </c:extLst>
                </c:dPt>
                <c:cat>
                  <c:strLit>
                    <c:ptCount val="7"/>
                    <c:pt idx="0">
                      <c:v>Cash Cow</c:v>
                    </c:pt>
                    <c:pt idx="1">
                      <c:v>Deep Value</c:v>
                    </c:pt>
                    <c:pt idx="2">
                      <c:v>ETF</c:v>
                    </c:pt>
                    <c:pt idx="3">
                      <c:v>Growth</c:v>
                    </c:pt>
                    <c:pt idx="4">
                      <c:v>Other</c:v>
                    </c:pt>
                    <c:pt idx="5">
                      <c:v>Predictable</c:v>
                    </c:pt>
                    <c:pt idx="6">
                      <c:v>Speculative</c:v>
                    </c:pt>
                  </c:strLit>
                </c:cat>
                <c:val>
                  <c:numLit>
                    <c:formatCode>General</c:formatCode>
                    <c:ptCount val="7"/>
                    <c:pt idx="0">
                      <c:v>3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1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1D-7435-4C70-BF64-941865290DFE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v>#REF!</c:v>
                </c:tx>
                <c:dPt>
                  <c:idx val="0"/>
                  <c:bubble3D val="0"/>
                  <c:spPr>
                    <a:solidFill>
                      <a:schemeClr val="accent1">
                        <a:shade val="47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435-4C70-BF64-941865290DF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6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7435-4C70-BF64-941865290DF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shade val="82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7435-4C70-BF64-941865290DF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7435-4C70-BF64-941865290DF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83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7435-4C70-BF64-941865290DF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1">
                        <a:tint val="6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7435-4C70-BF64-941865290DFE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tint val="48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7435-4C70-BF64-941865290DFE}"/>
                    </c:ext>
                  </c:extLst>
                </c:dPt>
                <c:cat>
                  <c:strLit>
                    <c:ptCount val="7"/>
                    <c:pt idx="0">
                      <c:v>Cash Cow</c:v>
                    </c:pt>
                    <c:pt idx="1">
                      <c:v>Deep Value</c:v>
                    </c:pt>
                    <c:pt idx="2">
                      <c:v>ETF</c:v>
                    </c:pt>
                    <c:pt idx="3">
                      <c:v>Growth</c:v>
                    </c:pt>
                    <c:pt idx="4">
                      <c:v>Other</c:v>
                    </c:pt>
                    <c:pt idx="5">
                      <c:v>Predictable</c:v>
                    </c:pt>
                    <c:pt idx="6">
                      <c:v>Speculative</c:v>
                    </c:pt>
                  </c:strLit>
                </c:cat>
                <c:val>
                  <c:numLit>
                    <c:formatCode>_("$"* #,##0.00_);_("$"* \(#,##0.00\);_("$"* "-"??_);_(@_)</c:formatCode>
                    <c:ptCount val="7"/>
                    <c:pt idx="0">
                      <c:v>17401.702127659573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22040.754716981133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3267.8663239074544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7435-4C70-BF64-941865290DF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Category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Dashboard'!$J$106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C-4977-8AFA-2906F8F103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C-4977-8AFA-2906F8F103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C-4977-8AFA-2906F8F103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9C-4977-8AFA-2906F8F103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9C-4977-8AFA-2906F8F103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9C-4977-8AFA-2906F8F103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9C-4977-8AFA-2906F8F103CA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51-4118-9C31-299E34996785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065-41A6-8387-2CEA1464BF41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Dashboard'!$G$107:$G$115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Dashboard'!$J$107:$J$115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0.60172794747828628</c:v>
                </c:pt>
                <c:pt idx="5">
                  <c:v>0</c:v>
                </c:pt>
                <c:pt idx="6">
                  <c:v>0.39827205252171377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9C-4977-8AFA-2906F8F103CA}"/>
            </c:ext>
          </c:extLst>
        </c:ser>
        <c:ser>
          <c:idx val="1"/>
          <c:order val="1"/>
          <c:tx>
            <c:strRef>
              <c:f>'VMI Portfolio Dashboard'!$I$106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49C-4977-8AFA-2906F8F103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49C-4977-8AFA-2906F8F103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49C-4977-8AFA-2906F8F103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49C-4977-8AFA-2906F8F103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49C-4977-8AFA-2906F8F103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49C-4977-8AFA-2906F8F103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49C-4977-8AFA-2906F8F103CA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751-4118-9C31-299E34996785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065-41A6-8387-2CEA1464BF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'VMI Portfolio Dashboard'!$G$107:$G$115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Dashboard'!$I$107:$I$115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20501.160000000003</c:v>
                </c:pt>
                <c:pt idx="5">
                  <c:v>0</c:v>
                </c:pt>
                <c:pt idx="6">
                  <c:v>13569.32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49C-4977-8AFA-2906F8F103CA}"/>
            </c:ext>
          </c:extLst>
        </c:ser>
        <c:ser>
          <c:idx val="2"/>
          <c:order val="2"/>
          <c:tx>
            <c:strRef>
              <c:f>'VMI Portfolio Dashboard'!$J$106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49C-4977-8AFA-2906F8F103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49C-4977-8AFA-2906F8F103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49C-4977-8AFA-2906F8F103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49C-4977-8AFA-2906F8F103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49C-4977-8AFA-2906F8F103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49C-4977-8AFA-2906F8F103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49C-4977-8AFA-2906F8F103CA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751-4118-9C31-299E34996785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065-41A6-8387-2CEA1464BF41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Dashboard'!$G$107:$G$115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Dashboard'!$J$107:$J$115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0.60172794747828628</c:v>
                </c:pt>
                <c:pt idx="5">
                  <c:v>0</c:v>
                </c:pt>
                <c:pt idx="6">
                  <c:v>0.39827205252171377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49C-4977-8AFA-2906F8F103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Category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Dashboard'!$O$106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E-4191-B3BA-184BF957F43E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E-4191-B3BA-184BF957F43E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AE-4191-B3BA-184BF957F43E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AE-4191-B3BA-184BF957F43E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AE-4191-B3BA-184BF957F43E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AE-4191-B3BA-184BF957F43E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AE-4191-B3BA-184BF957F43E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Dashboard'!$L$107:$L$115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Dashboard'!$O$107:$O$115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0.36982841748292089</c:v>
                </c:pt>
                <c:pt idx="4">
                  <c:v>0.63017158251707917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E-4191-B3BA-184BF957F43E}"/>
            </c:ext>
          </c:extLst>
        </c:ser>
        <c:ser>
          <c:idx val="1"/>
          <c:order val="1"/>
          <c:tx>
            <c:strRef>
              <c:f>'VMI Portfolio Dashboard'!$N$106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BAE-4191-B3BA-184BF957F43E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BAE-4191-B3BA-184BF957F43E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BAE-4191-B3BA-184BF957F43E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BAE-4191-B3BA-184BF957F43E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BAE-4191-B3BA-184BF957F43E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BAE-4191-B3BA-184BF957F43E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BAE-4191-B3BA-184BF957F43E}"/>
              </c:ext>
            </c:extLst>
          </c:dPt>
          <c:cat>
            <c:strRef>
              <c:f>'VMI Portfolio Dashboard'!$L$107:$L$115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Dashboard'!$N$107:$N$115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5955.18</c:v>
                </c:pt>
                <c:pt idx="4">
                  <c:v>10147.36842105263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AE-4191-B3BA-184BF957F43E}"/>
            </c:ext>
          </c:extLst>
        </c:ser>
        <c:ser>
          <c:idx val="2"/>
          <c:order val="2"/>
          <c:tx>
            <c:strRef>
              <c:f>'VMI Portfolio Dashboard'!$O$106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BAE-4191-B3BA-184BF957F43E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BBAE-4191-B3BA-184BF957F43E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BAE-4191-B3BA-184BF957F43E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BAE-4191-B3BA-184BF957F43E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BAE-4191-B3BA-184BF957F43E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BAE-4191-B3BA-184BF957F43E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BAE-4191-B3BA-184BF957F43E}"/>
              </c:ext>
            </c:extLst>
          </c:dPt>
          <c:cat>
            <c:strRef>
              <c:f>'VMI Portfolio Dashboard'!$L$107:$L$115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Dashboard'!$O$107:$O$115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0.36982841748292089</c:v>
                </c:pt>
                <c:pt idx="4">
                  <c:v>0.63017158251707917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BAE-4191-B3BA-184BF957F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Category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Dashboard'!$T$106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35-4A0A-A604-02DD177015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35-4A0A-A604-02DD177015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35-4A0A-A604-02DD177015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35-4A0A-A604-02DD177015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35-4A0A-A604-02DD177015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35-4A0A-A604-02DD177015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35-4A0A-A604-02DD177015CA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Dashboard'!$Q$107:$Q$115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Dashboard'!$T$107:$T$115</c:f>
              <c:numCache>
                <c:formatCode>0.0%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35-4A0A-A604-02DD177015CA}"/>
            </c:ext>
          </c:extLst>
        </c:ser>
        <c:ser>
          <c:idx val="1"/>
          <c:order val="1"/>
          <c:tx>
            <c:strRef>
              <c:f>'VMI Portfolio Dashboard'!$S$106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835-4A0A-A604-02DD177015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835-4A0A-A604-02DD177015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835-4A0A-A604-02DD177015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835-4A0A-A604-02DD177015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835-4A0A-A604-02DD177015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835-4A0A-A604-02DD177015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835-4A0A-A604-02DD177015CA}"/>
              </c:ext>
            </c:extLst>
          </c:dPt>
          <c:cat>
            <c:strRef>
              <c:f>'VMI Portfolio Dashboard'!$Q$107:$Q$115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Dashboard'!$S$107:$S$115</c:f>
              <c:numCache>
                <c:formatCode>_("$"* #,##0.00_);_("$"* \(#,##0.00\);_("$"* "-"??_);_(@_)</c:formatCode>
                <c:ptCount val="9"/>
                <c:pt idx="0">
                  <c:v>2948.1481481481478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835-4A0A-A604-02DD177015CA}"/>
            </c:ext>
          </c:extLst>
        </c:ser>
        <c:ser>
          <c:idx val="2"/>
          <c:order val="2"/>
          <c:tx>
            <c:strRef>
              <c:f>'VMI Portfolio Dashboard'!$T$106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835-4A0A-A604-02DD177015C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835-4A0A-A604-02DD177015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835-4A0A-A604-02DD177015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835-4A0A-A604-02DD177015C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835-4A0A-A604-02DD177015C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835-4A0A-A604-02DD177015C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D835-4A0A-A604-02DD177015CA}"/>
              </c:ext>
            </c:extLst>
          </c:dPt>
          <c:cat>
            <c:strRef>
              <c:f>'VMI Portfolio Dashboard'!$Q$107:$Q$115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Dashboard'!$T$107:$T$115</c:f>
              <c:numCache>
                <c:formatCode>0.0%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835-4A0A-A604-02DD1770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Geographical Breakdown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Dashboard'!$E$236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73-43ED-973A-E3E49AA1D870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73-43ED-973A-E3E49AA1D870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73-43ED-973A-E3E49AA1D870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73-43ED-973A-E3E49AA1D870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Dashboard'!$B$237:$B$242</c:f>
              <c:strCache>
                <c:ptCount val="6"/>
                <c:pt idx="0">
                  <c:v>US</c:v>
                </c:pt>
                <c:pt idx="1">
                  <c:v>China/HK</c:v>
                </c:pt>
                <c:pt idx="2">
                  <c:v>Singapore</c:v>
                </c:pt>
                <c:pt idx="3">
                  <c:v>Europe</c:v>
                </c:pt>
                <c:pt idx="4">
                  <c:v>Canada</c:v>
                </c:pt>
                <c:pt idx="5">
                  <c:v>India</c:v>
                </c:pt>
              </c:strCache>
            </c:strRef>
          </c:cat>
          <c:val>
            <c:numRef>
              <c:f>'VMI Portfolio Dashboard'!$E$237:$E$242</c:f>
              <c:numCache>
                <c:formatCode>0.0%</c:formatCode>
                <c:ptCount val="6"/>
                <c:pt idx="0">
                  <c:v>0.64137284225277846</c:v>
                </c:pt>
                <c:pt idx="1">
                  <c:v>0.30312861011419606</c:v>
                </c:pt>
                <c:pt idx="2">
                  <c:v>5.5498547633025509E-2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73-43ED-973A-E3E49AA1D870}"/>
            </c:ext>
          </c:extLst>
        </c:ser>
        <c:ser>
          <c:idx val="1"/>
          <c:order val="1"/>
          <c:tx>
            <c:strRef>
              <c:f>'VMI Portfolio Dashboard'!$D$236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273-43ED-973A-E3E49AA1D870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273-43ED-973A-E3E49AA1D870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273-43ED-973A-E3E49AA1D870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273-43ED-973A-E3E49AA1D870}"/>
              </c:ext>
            </c:extLst>
          </c:dPt>
          <c:cat>
            <c:strRef>
              <c:f>'VMI Portfolio Dashboard'!$B$237:$B$242</c:f>
              <c:strCache>
                <c:ptCount val="6"/>
                <c:pt idx="0">
                  <c:v>US</c:v>
                </c:pt>
                <c:pt idx="1">
                  <c:v>China/HK</c:v>
                </c:pt>
                <c:pt idx="2">
                  <c:v>Singapore</c:v>
                </c:pt>
                <c:pt idx="3">
                  <c:v>Europe</c:v>
                </c:pt>
                <c:pt idx="4">
                  <c:v>Canada</c:v>
                </c:pt>
                <c:pt idx="5">
                  <c:v>India</c:v>
                </c:pt>
              </c:strCache>
            </c:strRef>
          </c:cat>
          <c:val>
            <c:numRef>
              <c:f>'VMI Portfolio Dashboard'!$D$237:$D$242</c:f>
              <c:numCache>
                <c:formatCode>_("$"* #,##0.00_);_("$"* \(#,##0.00\);_("$"* "-"??_);_(@_)</c:formatCode>
                <c:ptCount val="6"/>
                <c:pt idx="0">
                  <c:v>34070.480000000003</c:v>
                </c:pt>
                <c:pt idx="1">
                  <c:v>16102.54842105263</c:v>
                </c:pt>
                <c:pt idx="2">
                  <c:v>2948.1481481481478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273-43ED-973A-E3E49AA1D870}"/>
            </c:ext>
          </c:extLst>
        </c:ser>
        <c:ser>
          <c:idx val="2"/>
          <c:order val="2"/>
          <c:tx>
            <c:strRef>
              <c:f>'VMI Portfolio Dashboard'!$E$236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273-43ED-973A-E3E49AA1D870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273-43ED-973A-E3E49AA1D870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273-43ED-973A-E3E49AA1D870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273-43ED-973A-E3E49AA1D870}"/>
              </c:ext>
            </c:extLst>
          </c:dPt>
          <c:cat>
            <c:strRef>
              <c:f>'VMI Portfolio Dashboard'!$B$237:$B$242</c:f>
              <c:strCache>
                <c:ptCount val="6"/>
                <c:pt idx="0">
                  <c:v>US</c:v>
                </c:pt>
                <c:pt idx="1">
                  <c:v>China/HK</c:v>
                </c:pt>
                <c:pt idx="2">
                  <c:v>Singapore</c:v>
                </c:pt>
                <c:pt idx="3">
                  <c:v>Europe</c:v>
                </c:pt>
                <c:pt idx="4">
                  <c:v>Canada</c:v>
                </c:pt>
                <c:pt idx="5">
                  <c:v>India</c:v>
                </c:pt>
              </c:strCache>
            </c:strRef>
          </c:cat>
          <c:val>
            <c:numRef>
              <c:f>'VMI Portfolio Dashboard'!$E$237:$E$242</c:f>
              <c:numCache>
                <c:formatCode>0.0%</c:formatCode>
                <c:ptCount val="6"/>
                <c:pt idx="0">
                  <c:v>0.64137284225277846</c:v>
                </c:pt>
                <c:pt idx="1">
                  <c:v>0.30312861011419606</c:v>
                </c:pt>
                <c:pt idx="2">
                  <c:v>5.5498547633025509E-2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273-43ED-973A-E3E49AA1D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TOTAL</a:t>
            </a:r>
            <a:r>
              <a:rPr lang="en-US" sz="1800" baseline="0"/>
              <a:t> - </a:t>
            </a:r>
            <a:r>
              <a:rPr lang="en-US" sz="1800"/>
              <a:t>Breakdown by Type</a:t>
            </a: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/>
              <a:t>(% of Current</a:t>
            </a:r>
            <a:r>
              <a:rPr lang="en-US" sz="1800" baseline="0"/>
              <a:t> </a:t>
            </a:r>
            <a:r>
              <a:rPr lang="en-US" sz="1800"/>
              <a:t>Market Value in USD)</a:t>
            </a:r>
            <a:endParaRPr lang="en-US" sz="1800" baseline="0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Dashboard'!$E$47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4-4619-BBE4-E1AF0DCC4BF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34-4619-BBE4-E1AF0DCC4BFF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34-4619-BBE4-E1AF0DCC4BFF}"/>
              </c:ext>
            </c:extLst>
          </c:dPt>
          <c:dLbls>
            <c:dLbl>
              <c:idx val="2"/>
              <c:numFmt formatCode="0.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234-4619-BBE4-E1AF0DCC4BF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Dashboard'!$B$48:$B$50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Dashboard'!$E$48:$E$50</c:f>
              <c:numCache>
                <c:formatCode>0.0%</c:formatCode>
                <c:ptCount val="3"/>
                <c:pt idx="0">
                  <c:v>5.5498547633025509E-2</c:v>
                </c:pt>
                <c:pt idx="1">
                  <c:v>0.24051462759594944</c:v>
                </c:pt>
                <c:pt idx="2">
                  <c:v>0.70398682477102514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7234-4619-BBE4-E1AF0DCC4BFF}"/>
            </c:ext>
          </c:extLst>
        </c:ser>
        <c:ser>
          <c:idx val="1"/>
          <c:order val="1"/>
          <c:tx>
            <c:strRef>
              <c:f>'VMI Portfolio Dashboard'!$D$47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234-4619-BBE4-E1AF0DCC4BF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234-4619-BBE4-E1AF0DCC4BFF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234-4619-BBE4-E1AF0DCC4BF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Dashboard'!$B$48:$B$50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Dashboard'!$D$48:$D$50</c:f>
              <c:numCache>
                <c:formatCode>_("$"* #,##0.00_);_("$"* \(#,##0.00\);_("$"* "-"??_);_(@_)</c:formatCode>
                <c:ptCount val="3"/>
                <c:pt idx="0">
                  <c:v>2948.1481481481478</c:v>
                </c:pt>
                <c:pt idx="1">
                  <c:v>12776.42</c:v>
                </c:pt>
                <c:pt idx="2">
                  <c:v>37396.608421052631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7234-4619-BBE4-E1AF0DCC4BFF}"/>
            </c:ext>
          </c:extLst>
        </c:ser>
        <c:ser>
          <c:idx val="2"/>
          <c:order val="2"/>
          <c:tx>
            <c:strRef>
              <c:f>'VMI Portfolio Dashboard'!$E$47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34-4619-BBE4-E1AF0DCC4BF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34-4619-BBE4-E1AF0DCC4BFF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234-4619-BBE4-E1AF0DCC4BFF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Dashboard'!$B$48:$B$50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Dashboard'!$E$48:$E$50</c:f>
              <c:numCache>
                <c:formatCode>0.0%</c:formatCode>
                <c:ptCount val="3"/>
                <c:pt idx="0">
                  <c:v>5.5498547633025509E-2</c:v>
                </c:pt>
                <c:pt idx="1">
                  <c:v>0.24051462759594944</c:v>
                </c:pt>
                <c:pt idx="2">
                  <c:v>0.70398682477102514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234-4619-BBE4-E1AF0DCC4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Type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Dashboard'!$J$47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7-42D7-AFCB-A7E44A25F9E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17-42D7-AFCB-A7E44A25F9E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17-42D7-AFCB-A7E44A25F9E5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Dashboard'!$G$48:$G$50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Dashboard'!$J$48:$J$50</c:f>
              <c:numCache>
                <c:formatCode>0.0%</c:formatCode>
                <c:ptCount val="3"/>
                <c:pt idx="0">
                  <c:v>0</c:v>
                </c:pt>
                <c:pt idx="1">
                  <c:v>0.37499970649078024</c:v>
                </c:pt>
                <c:pt idx="2">
                  <c:v>0.62500029350921971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17-42D7-AFCB-A7E44A25F9E5}"/>
            </c:ext>
          </c:extLst>
        </c:ser>
        <c:ser>
          <c:idx val="1"/>
          <c:order val="1"/>
          <c:tx>
            <c:strRef>
              <c:f>'VMI Portfolio Dashboard'!$I$47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617-42D7-AFCB-A7E44A25F9E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617-42D7-AFCB-A7E44A25F9E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617-42D7-AFCB-A7E44A25F9E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Dashboard'!$G$48:$G$50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Dashboard'!$I$48:$I$50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12776.42</c:v>
                </c:pt>
                <c:pt idx="2">
                  <c:v>21294.06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17-42D7-AFCB-A7E44A25F9E5}"/>
            </c:ext>
          </c:extLst>
        </c:ser>
        <c:ser>
          <c:idx val="2"/>
          <c:order val="2"/>
          <c:tx>
            <c:strRef>
              <c:f>'VMI Portfolio Dashboard'!$J$47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17-42D7-AFCB-A7E44A25F9E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17-42D7-AFCB-A7E44A25F9E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17-42D7-AFCB-A7E44A25F9E5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Dashboard'!$G$48:$G$50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Dashboard'!$J$48:$J$50</c:f>
              <c:numCache>
                <c:formatCode>0.0%</c:formatCode>
                <c:ptCount val="3"/>
                <c:pt idx="0">
                  <c:v>0</c:v>
                </c:pt>
                <c:pt idx="1">
                  <c:v>0.37499970649078024</c:v>
                </c:pt>
                <c:pt idx="2">
                  <c:v>0.62500029350921971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17-42D7-AFCB-A7E44A25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China - Breakdown by Type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Dashboard'!$O$47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E2-4F6A-A06C-D3BB4D0DA5B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E2-4F6A-A06C-D3BB4D0DA5B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E2-4F6A-A06C-D3BB4D0DA5B3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Dashboard'!$L$48:$L$50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Dashboard'!$O$48:$O$50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E2-4F6A-A06C-D3BB4D0DA5B3}"/>
            </c:ext>
          </c:extLst>
        </c:ser>
        <c:ser>
          <c:idx val="1"/>
          <c:order val="1"/>
          <c:tx>
            <c:strRef>
              <c:f>'VMI Portfolio Dashboard'!$N$47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3E2-4F6A-A06C-D3BB4D0DA5B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3E2-4F6A-A06C-D3BB4D0DA5B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3E2-4F6A-A06C-D3BB4D0DA5B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Dashboard'!$L$48:$L$50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Dashboard'!$N$48:$N$50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16102.54842105263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E2-4F6A-A06C-D3BB4D0DA5B3}"/>
            </c:ext>
          </c:extLst>
        </c:ser>
        <c:ser>
          <c:idx val="2"/>
          <c:order val="2"/>
          <c:tx>
            <c:strRef>
              <c:f>'VMI Portfolio Dashboard'!$O$47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3E2-4F6A-A06C-D3BB4D0DA5B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3E2-4F6A-A06C-D3BB4D0DA5B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3E2-4F6A-A06C-D3BB4D0DA5B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Dashboard'!$L$48:$L$50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Dashboard'!$O$48:$O$50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3E2-4F6A-A06C-D3BB4D0DA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Type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tx>
            <c:strRef>
              <c:f>'VMI Portfolio Dashboard'!$T$47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F58-4F77-A04D-F1560315FFB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F58-4F77-A04D-F1560315FFB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F58-4F77-A04D-F1560315FFB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Dashboard'!$Q$48:$Q$50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Dashboard'!$T$48:$T$50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58-4F77-A04D-F1560315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latin typeface="Arial" panose="020B0604020202020204" pitchFamily="34" charset="0"/>
                <a:cs typeface="Arial" panose="020B0604020202020204" pitchFamily="34" charset="0"/>
              </a:rPr>
              <a:t>Breakdown by Holdings</a:t>
            </a:r>
          </a:p>
          <a:p>
            <a:pPr>
              <a:defRPr sz="20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>
                <a:latin typeface="Arial" panose="020B0604020202020204" pitchFamily="34" charset="0"/>
                <a:cs typeface="Arial" panose="020B0604020202020204" pitchFamily="34" charset="0"/>
              </a:rPr>
              <a:t>(% of Current Market Value in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'VMI Portfolio Manager'!$Z$9</c:f>
              <c:strCache>
                <c:ptCount val="1"/>
                <c:pt idx="0">
                  <c:v>Market Value
(in USD)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C7-412A-AF1D-AAA9F8B10D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C7-412A-AF1D-AAA9F8B10D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C7-412A-AF1D-AAA9F8B10D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C7-412A-AF1D-AAA9F8B10DB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C7-412A-AF1D-AAA9F8B10DB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C7-412A-AF1D-AAA9F8B10DB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C7-412A-AF1D-AAA9F8B10DB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FC7-412A-AF1D-AAA9F8B10DB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FC7-412A-AF1D-AAA9F8B10DB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FC7-412A-AF1D-AAA9F8B10DB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FC7-412A-AF1D-AAA9F8B10DB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FC7-412A-AF1D-AAA9F8B10DB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FC7-412A-AF1D-AAA9F8B10DB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FC7-412A-AF1D-AAA9F8B10DB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FC7-412A-AF1D-AAA9F8B10DB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FC7-412A-AF1D-AAA9F8B10DB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FC7-412A-AF1D-AAA9F8B10DB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FC7-412A-AF1D-AAA9F8B10DB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FC7-412A-AF1D-AAA9F8B10DB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FC7-412A-AF1D-AAA9F8B10DBF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A3A6-48AF-9172-5EAFCACD57F0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Manager'!$C$10:$C$29</c:f>
              <c:strCache>
                <c:ptCount val="9"/>
                <c:pt idx="0">
                  <c:v>C38U</c:v>
                </c:pt>
                <c:pt idx="1">
                  <c:v>CME</c:v>
                </c:pt>
                <c:pt idx="2">
                  <c:v>ADBE</c:v>
                </c:pt>
                <c:pt idx="3">
                  <c:v>0700</c:v>
                </c:pt>
                <c:pt idx="4">
                  <c:v>VEEV</c:v>
                </c:pt>
                <c:pt idx="5">
                  <c:v>GOOGL</c:v>
                </c:pt>
                <c:pt idx="6">
                  <c:v>9618</c:v>
                </c:pt>
                <c:pt idx="7">
                  <c:v>ASHR</c:v>
                </c:pt>
                <c:pt idx="8">
                  <c:v>MCD</c:v>
                </c:pt>
              </c:strCache>
            </c:strRef>
          </c:cat>
          <c:val>
            <c:numRef>
              <c:f>'VMI Portfolio Manager'!$Z$10:$Z$29</c:f>
              <c:numCache>
                <c:formatCode>_("$"* #,##0.00_);_("$"* \(#,##0.00\);_("$"* "-"??_);_(@_)</c:formatCode>
                <c:ptCount val="20"/>
                <c:pt idx="0">
                  <c:v>2948.1481481481478</c:v>
                </c:pt>
                <c:pt idx="1">
                  <c:v>6785.4000000000005</c:v>
                </c:pt>
                <c:pt idx="2">
                  <c:v>3194.2200000000003</c:v>
                </c:pt>
                <c:pt idx="3">
                  <c:v>4941.7201540436454</c:v>
                </c:pt>
                <c:pt idx="4">
                  <c:v>5992.5</c:v>
                </c:pt>
                <c:pt idx="5">
                  <c:v>11314.44</c:v>
                </c:pt>
                <c:pt idx="6">
                  <c:v>5205.6482670089854</c:v>
                </c:pt>
                <c:pt idx="7">
                  <c:v>5955.18</c:v>
                </c:pt>
                <c:pt idx="8">
                  <c:v>6783.92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8-5FC7-412A-AF1D-AAA9F8B10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Category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Dashboard'!$Y$106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9D-459B-8977-37AF2ACCACDF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9D-459B-8977-37AF2ACCACDF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9D-459B-8977-37AF2ACCACDF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9D-459B-8977-37AF2ACCACDF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9D-459B-8977-37AF2ACCACDF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39D-459B-8977-37AF2ACCACDF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39D-459B-8977-37AF2ACCACDF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Dashboard'!$V$107:$V$115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Dashboard'!$Y$107:$Y$115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9D-459B-8977-37AF2ACCACDF}"/>
            </c:ext>
          </c:extLst>
        </c:ser>
        <c:ser>
          <c:idx val="1"/>
          <c:order val="1"/>
          <c:tx>
            <c:strRef>
              <c:f>'VMI Portfolio Dashboard'!$X$106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39D-459B-8977-37AF2ACCACDF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39D-459B-8977-37AF2ACCACDF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9D-459B-8977-37AF2ACCACDF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39D-459B-8977-37AF2ACCACDF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39D-459B-8977-37AF2ACCACDF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39D-459B-8977-37AF2ACCACDF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39D-459B-8977-37AF2ACCACDF}"/>
              </c:ext>
            </c:extLst>
          </c:dPt>
          <c:cat>
            <c:strRef>
              <c:f>'VMI Portfolio Dashboard'!$V$107:$V$115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Dashboard'!$X$107:$X$115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39D-459B-8977-37AF2ACCACDF}"/>
            </c:ext>
          </c:extLst>
        </c:ser>
        <c:ser>
          <c:idx val="2"/>
          <c:order val="2"/>
          <c:tx>
            <c:strRef>
              <c:f>'VMI Portfolio Dashboard'!$Y$106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239D-459B-8977-37AF2ACCACDF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239D-459B-8977-37AF2ACCACDF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239D-459B-8977-37AF2ACCACDF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239D-459B-8977-37AF2ACCACDF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239D-459B-8977-37AF2ACCACDF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239D-459B-8977-37AF2ACCACDF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239D-459B-8977-37AF2ACCACDF}"/>
              </c:ext>
            </c:extLst>
          </c:dPt>
          <c:cat>
            <c:strRef>
              <c:f>'VMI Portfolio Dashboard'!$V$107:$V$115</c:f>
              <c:strCache>
                <c:ptCount val="9"/>
                <c:pt idx="0">
                  <c:v>Cash Cow</c:v>
                </c:pt>
                <c:pt idx="1">
                  <c:v>Deep Cyclical</c:v>
                </c:pt>
                <c:pt idx="2">
                  <c:v>Deep Value</c:v>
                </c:pt>
                <c:pt idx="3">
                  <c:v>ETF</c:v>
                </c:pt>
                <c:pt idx="4">
                  <c:v>Growth</c:v>
                </c:pt>
                <c:pt idx="5">
                  <c:v>Other</c:v>
                </c:pt>
                <c:pt idx="6">
                  <c:v>Predictable</c:v>
                </c:pt>
                <c:pt idx="7">
                  <c:v>Speculative</c:v>
                </c:pt>
                <c:pt idx="8">
                  <c:v>Turnaround</c:v>
                </c:pt>
              </c:strCache>
            </c:strRef>
          </c:cat>
          <c:val>
            <c:numRef>
              <c:f>'VMI Portfolio Dashboard'!$Y$107:$Y$115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39D-459B-8977-37AF2ACCA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Type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Dashboard'!$Y$47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EE-4DFC-BA04-273010C21A0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EE-4DFC-BA04-273010C21A0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E-4DFC-BA04-273010C21A04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Dashboard'!$V$48:$V$50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Dashboard'!$Y$48:$Y$50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EE-4DFC-BA04-273010C21A04}"/>
            </c:ext>
          </c:extLst>
        </c:ser>
        <c:ser>
          <c:idx val="1"/>
          <c:order val="1"/>
          <c:tx>
            <c:strRef>
              <c:f>'VMI Portfolio Dashboard'!$X$47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4EE-4DFC-BA04-273010C21A0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4EE-4DFC-BA04-273010C21A0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4EE-4DFC-BA04-273010C21A0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Dashboard'!$V$48:$V$50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Dashboard'!$X$48:$X$50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EE-4DFC-BA04-273010C21A04}"/>
            </c:ext>
          </c:extLst>
        </c:ser>
        <c:ser>
          <c:idx val="2"/>
          <c:order val="2"/>
          <c:tx>
            <c:strRef>
              <c:f>'VMI Portfolio Dashboard'!$Y$47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4EE-4DFC-BA04-273010C21A0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EE-4DFC-BA04-273010C21A0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4EE-4DFC-BA04-273010C21A0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Dashboard'!$V$48:$V$50</c:f>
              <c:strCache>
                <c:ptCount val="3"/>
                <c:pt idx="0">
                  <c:v>Cyclical</c:v>
                </c:pt>
                <c:pt idx="1">
                  <c:v>Defensive</c:v>
                </c:pt>
                <c:pt idx="2">
                  <c:v>Moderate Cyclical</c:v>
                </c:pt>
              </c:strCache>
            </c:strRef>
          </c:cat>
          <c:val>
            <c:numRef>
              <c:f>'VMI Portfolio Dashboard'!$Y$48:$Y$50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4EE-4DFC-BA04-273010C2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- Breakdown by Sector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0"/>
          <c:tx>
            <c:strRef>
              <c:f>'VMI Portfolio Dashboard'!$E$170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10-48B8-9670-0F78CDD84F92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10-48B8-9670-0F78CDD84F92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10-48B8-9670-0F78CDD84F92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10-48B8-9670-0F78CDD84F92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10-48B8-9670-0F78CDD84F92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10-48B8-9670-0F78CDD84F92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10-48B8-9670-0F78CDD84F92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Dashboard'!$B$171:$B$182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Dashboard'!$E$171:$E$182</c:f>
              <c:numCache>
                <c:formatCode>0.0%</c:formatCode>
                <c:ptCount val="12"/>
                <c:pt idx="0">
                  <c:v>0.30602033320679184</c:v>
                </c:pt>
                <c:pt idx="1">
                  <c:v>9.7995726059034186E-2</c:v>
                </c:pt>
                <c:pt idx="2">
                  <c:v>0.12770650874350664</c:v>
                </c:pt>
                <c:pt idx="3">
                  <c:v>0.11210557417233044</c:v>
                </c:pt>
                <c:pt idx="4">
                  <c:v>0</c:v>
                </c:pt>
                <c:pt idx="5">
                  <c:v>0.12773436957219278</c:v>
                </c:pt>
                <c:pt idx="6">
                  <c:v>0.11280811885244277</c:v>
                </c:pt>
                <c:pt idx="7">
                  <c:v>0</c:v>
                </c:pt>
                <c:pt idx="8">
                  <c:v>0</c:v>
                </c:pt>
                <c:pt idx="9">
                  <c:v>5.5498547633025502E-2</c:v>
                </c:pt>
                <c:pt idx="10">
                  <c:v>6.0130821760675808E-2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610-48B8-9670-0F78CDD8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tx>
                  <c:v>#REF!</c:v>
                </c:tx>
                <c:dPt>
                  <c:idx val="0"/>
                  <c:bubble3D val="0"/>
                  <c:spPr>
                    <a:solidFill>
                      <a:schemeClr val="accent1">
                        <a:shade val="47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2610-48B8-9670-0F78CDD84F9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6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2610-48B8-9670-0F78CDD84F9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shade val="82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2610-48B8-9670-0F78CDD84F9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2610-48B8-9670-0F78CDD84F9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83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2610-48B8-9670-0F78CDD84F9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1">
                        <a:tint val="6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2610-48B8-9670-0F78CDD84F9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tint val="48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2610-48B8-9670-0F78CDD84F92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'VMI Portfolio Dashboard'!$B$171:$B$182</c15:sqref>
                        </c15:formulaRef>
                      </c:ext>
                    </c:extLst>
                    <c:strCache>
                      <c:ptCount val="12"/>
                      <c:pt idx="0">
                        <c:v>Communication Services</c:v>
                      </c:pt>
                      <c:pt idx="1">
                        <c:v>Consumer Discretionary</c:v>
                      </c:pt>
                      <c:pt idx="2">
                        <c:v>Consumer Staples</c:v>
                      </c:pt>
                      <c:pt idx="3">
                        <c:v>Diversified</c:v>
                      </c:pt>
                      <c:pt idx="4">
                        <c:v>Energy</c:v>
                      </c:pt>
                      <c:pt idx="5">
                        <c:v>Financials</c:v>
                      </c:pt>
                      <c:pt idx="6">
                        <c:v>Health Care</c:v>
                      </c:pt>
                      <c:pt idx="7">
                        <c:v>Industrials</c:v>
                      </c:pt>
                      <c:pt idx="8">
                        <c:v>Materials</c:v>
                      </c:pt>
                      <c:pt idx="9">
                        <c:v>Real Estate</c:v>
                      </c:pt>
                      <c:pt idx="10">
                        <c:v>Technology</c:v>
                      </c:pt>
                      <c:pt idx="11">
                        <c:v>Utilities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3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1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1D-2610-48B8-9670-0F78CDD84F92}"/>
                  </c:ext>
                </c:extLst>
              </c15:ser>
            </c15:filteredPieSeries>
            <c15:filteredPieSeries>
              <c15:ser>
                <c:idx val="1"/>
                <c:order val="2"/>
                <c:tx>
                  <c:v>#REF!</c:v>
                </c:tx>
                <c:dPt>
                  <c:idx val="0"/>
                  <c:bubble3D val="0"/>
                  <c:spPr>
                    <a:solidFill>
                      <a:schemeClr val="accent1">
                        <a:shade val="47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2610-48B8-9670-0F78CDD84F9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6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2610-48B8-9670-0F78CDD84F9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shade val="82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610-48B8-9670-0F78CDD84F9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610-48B8-9670-0F78CDD84F9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83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610-48B8-9670-0F78CDD84F9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1">
                        <a:tint val="6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610-48B8-9670-0F78CDD84F9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tint val="48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610-48B8-9670-0F78CDD84F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'VMI Portfolio Dashboard'!$B$171:$B$182</c15:sqref>
                        </c15:formulaRef>
                      </c:ext>
                    </c:extLst>
                    <c:strCache>
                      <c:ptCount val="12"/>
                      <c:pt idx="0">
                        <c:v>Communication Services</c:v>
                      </c:pt>
                      <c:pt idx="1">
                        <c:v>Consumer Discretionary</c:v>
                      </c:pt>
                      <c:pt idx="2">
                        <c:v>Consumer Staples</c:v>
                      </c:pt>
                      <c:pt idx="3">
                        <c:v>Diversified</c:v>
                      </c:pt>
                      <c:pt idx="4">
                        <c:v>Energy</c:v>
                      </c:pt>
                      <c:pt idx="5">
                        <c:v>Financials</c:v>
                      </c:pt>
                      <c:pt idx="6">
                        <c:v>Health Care</c:v>
                      </c:pt>
                      <c:pt idx="7">
                        <c:v>Industrials</c:v>
                      </c:pt>
                      <c:pt idx="8">
                        <c:v>Materials</c:v>
                      </c:pt>
                      <c:pt idx="9">
                        <c:v>Real Estate</c:v>
                      </c:pt>
                      <c:pt idx="10">
                        <c:v>Technology</c:v>
                      </c:pt>
                      <c:pt idx="11">
                        <c:v>Utilities</c:v>
                      </c:pt>
                    </c:strCache>
                  </c:strRef>
                </c:cat>
                <c:val>
                  <c:numLit>
                    <c:formatCode>_("$"* #,##0.00_);_("$"* \(#,##0.00\);_("$"* "-"??_);_(@_)</c:formatCode>
                    <c:ptCount val="7"/>
                    <c:pt idx="0">
                      <c:v>17401.702127659573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22040.754716981133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3267.8663239074544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2610-48B8-9670-0F78CDD84F9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Sector</a:t>
            </a:r>
            <a:endParaRPr lang="en-US">
              <a:effectLst/>
            </a:endParaRPr>
          </a:p>
          <a:p>
            <a:pPr>
              <a:defRPr b="0" spc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Dashboard'!$J$170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ED-410C-8526-674AAE61888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ED-410C-8526-674AAE61888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ED-410C-8526-674AAE61888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ED-410C-8526-674AAE61888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4ED-410C-8526-674AAE61888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4ED-410C-8526-674AAE61888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4ED-410C-8526-674AAE618884}"/>
              </c:ext>
            </c:extLst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343-45D2-84A0-6EE2E65C22EC}"/>
              </c:ext>
            </c:extLst>
          </c:dPt>
          <c:dPt>
            <c:idx val="8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343-45D2-84A0-6EE2E65C22EC}"/>
              </c:ext>
            </c:extLst>
          </c:dPt>
          <c:dPt>
            <c:idx val="9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343-45D2-84A0-6EE2E65C22EC}"/>
              </c:ext>
            </c:extLst>
          </c:dPt>
          <c:dPt>
            <c:idx val="10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343-45D2-84A0-6EE2E65C22EC}"/>
              </c:ext>
            </c:extLst>
          </c:dPt>
          <c:dPt>
            <c:idx val="11"/>
            <c:bubble3D val="0"/>
            <c:spPr>
              <a:solidFill>
                <a:schemeClr val="accent1">
                  <a:tint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343-45D2-84A0-6EE2E65C22EC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Dashboard'!$G$171:$G$182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Dashboard'!$J$171:$J$182</c:f>
              <c:numCache>
                <c:formatCode>0.0%</c:formatCode>
                <c:ptCount val="12"/>
                <c:pt idx="0">
                  <c:v>0.3320892455873824</c:v>
                </c:pt>
                <c:pt idx="1">
                  <c:v>0</c:v>
                </c:pt>
                <c:pt idx="2">
                  <c:v>0.19911430657859824</c:v>
                </c:pt>
                <c:pt idx="3">
                  <c:v>0</c:v>
                </c:pt>
                <c:pt idx="4">
                  <c:v>0</c:v>
                </c:pt>
                <c:pt idx="5">
                  <c:v>0.19915774594311556</c:v>
                </c:pt>
                <c:pt idx="6">
                  <c:v>0.17588539991218202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9.3753301978721754E-2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ED-410C-8526-674AAE618884}"/>
            </c:ext>
          </c:extLst>
        </c:ser>
        <c:ser>
          <c:idx val="1"/>
          <c:order val="1"/>
          <c:tx>
            <c:strRef>
              <c:f>'VMI Portfolio Dashboard'!$I$170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ED-410C-8526-674AAE61888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4ED-410C-8526-674AAE61888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4ED-410C-8526-674AAE61888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4ED-410C-8526-674AAE61888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4ED-410C-8526-674AAE61888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4ED-410C-8526-674AAE61888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4ED-410C-8526-674AAE618884}"/>
              </c:ext>
            </c:extLst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343-45D2-84A0-6EE2E65C22EC}"/>
              </c:ext>
            </c:extLst>
          </c:dPt>
          <c:dPt>
            <c:idx val="8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343-45D2-84A0-6EE2E65C22EC}"/>
              </c:ext>
            </c:extLst>
          </c:dPt>
          <c:dPt>
            <c:idx val="9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343-45D2-84A0-6EE2E65C22EC}"/>
              </c:ext>
            </c:extLst>
          </c:dPt>
          <c:dPt>
            <c:idx val="10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343-45D2-84A0-6EE2E65C22EC}"/>
              </c:ext>
            </c:extLst>
          </c:dPt>
          <c:dPt>
            <c:idx val="11"/>
            <c:bubble3D val="0"/>
            <c:spPr>
              <a:solidFill>
                <a:schemeClr val="accent1">
                  <a:tint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343-45D2-84A0-6EE2E65C2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'VMI Portfolio Dashboard'!$G$171:$G$182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Dashboard'!$I$171:$I$182</c:f>
              <c:numCache>
                <c:formatCode>_("$"* #,##0.00_);_("$"* \(#,##0.00\);_("$"* "-"??_);_(@_)</c:formatCode>
                <c:ptCount val="12"/>
                <c:pt idx="0">
                  <c:v>11314.44</c:v>
                </c:pt>
                <c:pt idx="1">
                  <c:v>0</c:v>
                </c:pt>
                <c:pt idx="2">
                  <c:v>6783.92</c:v>
                </c:pt>
                <c:pt idx="3">
                  <c:v>0</c:v>
                </c:pt>
                <c:pt idx="4">
                  <c:v>0</c:v>
                </c:pt>
                <c:pt idx="5">
                  <c:v>6785.4000000000005</c:v>
                </c:pt>
                <c:pt idx="6">
                  <c:v>5992.5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3194.2200000000003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4ED-410C-8526-674AAE618884}"/>
            </c:ext>
          </c:extLst>
        </c:ser>
        <c:ser>
          <c:idx val="2"/>
          <c:order val="2"/>
          <c:tx>
            <c:strRef>
              <c:f>'VMI Portfolio Dashboard'!$J$170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4ED-410C-8526-674AAE61888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4ED-410C-8526-674AAE61888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4ED-410C-8526-674AAE61888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4ED-410C-8526-674AAE61888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4ED-410C-8526-674AAE61888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4ED-410C-8526-674AAE61888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04ED-410C-8526-674AAE618884}"/>
              </c:ext>
            </c:extLst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1343-45D2-84A0-6EE2E65C22EC}"/>
              </c:ext>
            </c:extLst>
          </c:dPt>
          <c:dPt>
            <c:idx val="8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1343-45D2-84A0-6EE2E65C22EC}"/>
              </c:ext>
            </c:extLst>
          </c:dPt>
          <c:dPt>
            <c:idx val="9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1343-45D2-84A0-6EE2E65C22EC}"/>
              </c:ext>
            </c:extLst>
          </c:dPt>
          <c:dPt>
            <c:idx val="10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1343-45D2-84A0-6EE2E65C22EC}"/>
              </c:ext>
            </c:extLst>
          </c:dPt>
          <c:dPt>
            <c:idx val="11"/>
            <c:bubble3D val="0"/>
            <c:spPr>
              <a:solidFill>
                <a:schemeClr val="accent1">
                  <a:tint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1343-45D2-84A0-6EE2E65C22EC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'VMI Portfolio Dashboard'!$G$171:$G$182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Dashboard'!$J$171:$J$182</c:f>
              <c:numCache>
                <c:formatCode>0.0%</c:formatCode>
                <c:ptCount val="12"/>
                <c:pt idx="0">
                  <c:v>0.3320892455873824</c:v>
                </c:pt>
                <c:pt idx="1">
                  <c:v>0</c:v>
                </c:pt>
                <c:pt idx="2">
                  <c:v>0.19911430657859824</c:v>
                </c:pt>
                <c:pt idx="3">
                  <c:v>0</c:v>
                </c:pt>
                <c:pt idx="4">
                  <c:v>0</c:v>
                </c:pt>
                <c:pt idx="5">
                  <c:v>0.19915774594311556</c:v>
                </c:pt>
                <c:pt idx="6">
                  <c:v>0.17588539991218202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9.3753301978721754E-2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4ED-410C-8526-674AAE6188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</a:t>
            </a:r>
            <a:r>
              <a:rPr lang="en-US" sz="1800" b="0" i="0" u="none" strike="noStrike" baseline="0">
                <a:effectLst/>
              </a:rPr>
              <a:t>Sector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Dashboard'!$O$170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09-42E8-96CD-85038D07E4D6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09-42E8-96CD-85038D07E4D6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09-42E8-96CD-85038D07E4D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09-42E8-96CD-85038D07E4D6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09-42E8-96CD-85038D07E4D6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09-42E8-96CD-85038D07E4D6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09-42E8-96CD-85038D07E4D6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Dashboard'!$L$171:$L$182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Dashboard'!$O$171:$O$182</c:f>
              <c:numCache>
                <c:formatCode>0.0%</c:formatCode>
                <c:ptCount val="12"/>
                <c:pt idx="0">
                  <c:v>0.30689056320941049</c:v>
                </c:pt>
                <c:pt idx="1">
                  <c:v>0.32328101930766867</c:v>
                </c:pt>
                <c:pt idx="2">
                  <c:v>0</c:v>
                </c:pt>
                <c:pt idx="3">
                  <c:v>0.36982841748292089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09-42E8-96CD-85038D07E4D6}"/>
            </c:ext>
          </c:extLst>
        </c:ser>
        <c:ser>
          <c:idx val="1"/>
          <c:order val="1"/>
          <c:tx>
            <c:strRef>
              <c:f>'VMI Portfolio Dashboard'!$N$106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809-42E8-96CD-85038D07E4D6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809-42E8-96CD-85038D07E4D6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809-42E8-96CD-85038D07E4D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809-42E8-96CD-85038D07E4D6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809-42E8-96CD-85038D07E4D6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809-42E8-96CD-85038D07E4D6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809-42E8-96CD-85038D07E4D6}"/>
              </c:ext>
            </c:extLst>
          </c:dPt>
          <c:cat>
            <c:strRef>
              <c:f>'VMI Portfolio Dashboard'!$L$171:$L$182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Dashboard'!$N$107:$N$115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5955.18</c:v>
                </c:pt>
                <c:pt idx="4">
                  <c:v>10147.36842105263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809-42E8-96CD-85038D07E4D6}"/>
            </c:ext>
          </c:extLst>
        </c:ser>
        <c:ser>
          <c:idx val="2"/>
          <c:order val="2"/>
          <c:tx>
            <c:strRef>
              <c:f>'VMI Portfolio Dashboard'!$O$106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809-42E8-96CD-85038D07E4D6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809-42E8-96CD-85038D07E4D6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809-42E8-96CD-85038D07E4D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809-42E8-96CD-85038D07E4D6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809-42E8-96CD-85038D07E4D6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809-42E8-96CD-85038D07E4D6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0809-42E8-96CD-85038D07E4D6}"/>
              </c:ext>
            </c:extLst>
          </c:dPt>
          <c:cat>
            <c:strRef>
              <c:f>'VMI Portfolio Dashboard'!$L$171:$L$182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Dashboard'!$O$107:$O$115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0.36982841748292089</c:v>
                </c:pt>
                <c:pt idx="4">
                  <c:v>0.63017158251707917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809-42E8-96CD-85038D07E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Sector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Dashboard'!$T$170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5-461B-8291-762A1E5DFBA0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5-461B-8291-762A1E5DFBA0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5-461B-8291-762A1E5DFBA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D5-461B-8291-762A1E5DFBA0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D5-461B-8291-762A1E5DFBA0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D5-461B-8291-762A1E5DFBA0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D5-461B-8291-762A1E5DFBA0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Dashboard'!$Q$171:$Q$182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Dashboard'!$T$171:$T$182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D5-461B-8291-762A1E5DFBA0}"/>
            </c:ext>
          </c:extLst>
        </c:ser>
        <c:ser>
          <c:idx val="1"/>
          <c:order val="1"/>
          <c:tx>
            <c:strRef>
              <c:f>'VMI Portfolio Dashboard'!$S$106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FD5-461B-8291-762A1E5DFBA0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FD5-461B-8291-762A1E5DFBA0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1FD5-461B-8291-762A1E5DFBA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FD5-461B-8291-762A1E5DFBA0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FD5-461B-8291-762A1E5DFBA0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FD5-461B-8291-762A1E5DFBA0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FD5-461B-8291-762A1E5DFBA0}"/>
              </c:ext>
            </c:extLst>
          </c:dPt>
          <c:cat>
            <c:strRef>
              <c:f>'VMI Portfolio Dashboard'!$Q$171:$Q$182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Dashboard'!$S$107:$S$115</c:f>
              <c:numCache>
                <c:formatCode>_("$"* #,##0.00_);_("$"* \(#,##0.00\);_("$"* "-"??_);_(@_)</c:formatCode>
                <c:ptCount val="9"/>
                <c:pt idx="0">
                  <c:v>2948.1481481481478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FD5-461B-8291-762A1E5DFBA0}"/>
            </c:ext>
          </c:extLst>
        </c:ser>
        <c:ser>
          <c:idx val="2"/>
          <c:order val="2"/>
          <c:tx>
            <c:strRef>
              <c:f>'VMI Portfolio Dashboard'!$T$106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FD5-461B-8291-762A1E5DFBA0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FD5-461B-8291-762A1E5DFBA0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FD5-461B-8291-762A1E5DFBA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FD5-461B-8291-762A1E5DFBA0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FD5-461B-8291-762A1E5DFBA0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FD5-461B-8291-762A1E5DFBA0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FD5-461B-8291-762A1E5DFBA0}"/>
              </c:ext>
            </c:extLst>
          </c:dPt>
          <c:cat>
            <c:strRef>
              <c:f>'VMI Portfolio Dashboard'!$Q$171:$Q$182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Dashboard'!$T$107:$T$115</c:f>
              <c:numCache>
                <c:formatCode>0.0%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FD5-461B-8291-762A1E5DF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Breakdown by </a:t>
            </a:r>
            <a:r>
              <a:rPr lang="en-US" sz="1800" b="0" i="0" u="none" strike="noStrike" baseline="0">
                <a:effectLst/>
              </a:rPr>
              <a:t>Sector</a:t>
            </a:r>
            <a:endParaRPr lang="en-US">
              <a:effectLst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(% of Current Market Value in USD)</a:t>
            </a:r>
            <a:endParaRPr lang="en-US">
              <a:effectLst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'VMI Portfolio Dashboard'!$Y$170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C2-40CA-8EDB-5BE57FE5AD5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C2-40CA-8EDB-5BE57FE5AD5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C2-40CA-8EDB-5BE57FE5AD5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C2-40CA-8EDB-5BE57FE5AD5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C2-40CA-8EDB-5BE57FE5AD5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6C2-40CA-8EDB-5BE57FE5AD5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C2-40CA-8EDB-5BE57FE5AD54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'VMI Portfolio Dashboard'!$V$171:$V$182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Dashboard'!$Y$171:$Y$182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C2-40CA-8EDB-5BE57FE5AD54}"/>
            </c:ext>
          </c:extLst>
        </c:ser>
        <c:ser>
          <c:idx val="1"/>
          <c:order val="1"/>
          <c:tx>
            <c:strRef>
              <c:f>'VMI Portfolio Dashboard'!$X$106</c:f>
              <c:strCache>
                <c:ptCount val="1"/>
                <c:pt idx="0">
                  <c:v>Market Value (in 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6C2-40CA-8EDB-5BE57FE5AD5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6C2-40CA-8EDB-5BE57FE5AD5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6C2-40CA-8EDB-5BE57FE5AD5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6C2-40CA-8EDB-5BE57FE5AD5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6C2-40CA-8EDB-5BE57FE5AD5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6C2-40CA-8EDB-5BE57FE5AD5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6C2-40CA-8EDB-5BE57FE5AD54}"/>
              </c:ext>
            </c:extLst>
          </c:dPt>
          <c:cat>
            <c:strRef>
              <c:f>'VMI Portfolio Dashboard'!$V$171:$V$182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Dashboard'!$X$107:$X$115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C2-40CA-8EDB-5BE57FE5AD54}"/>
            </c:ext>
          </c:extLst>
        </c:ser>
        <c:ser>
          <c:idx val="2"/>
          <c:order val="2"/>
          <c:tx>
            <c:strRef>
              <c:f>'VMI Portfolio Dashboard'!$Y$106</c:f>
              <c:strCache>
                <c:ptCount val="1"/>
                <c:pt idx="0">
                  <c:v>Percentage by Market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6C2-40CA-8EDB-5BE57FE5AD54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6C2-40CA-8EDB-5BE57FE5AD54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6C2-40CA-8EDB-5BE57FE5AD5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66C2-40CA-8EDB-5BE57FE5AD54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66C2-40CA-8EDB-5BE57FE5AD54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66C2-40CA-8EDB-5BE57FE5AD54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66C2-40CA-8EDB-5BE57FE5AD54}"/>
              </c:ext>
            </c:extLst>
          </c:dPt>
          <c:cat>
            <c:strRef>
              <c:f>'VMI Portfolio Dashboard'!$V$171:$V$182</c:f>
              <c:strCache>
                <c:ptCount val="12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Diversified</c:v>
                </c:pt>
                <c:pt idx="4">
                  <c:v>Energy</c:v>
                </c:pt>
                <c:pt idx="5">
                  <c:v>Financials</c:v>
                </c:pt>
                <c:pt idx="6">
                  <c:v>Health Care</c:v>
                </c:pt>
                <c:pt idx="7">
                  <c:v>Industrials</c:v>
                </c:pt>
                <c:pt idx="8">
                  <c:v>Materials</c:v>
                </c:pt>
                <c:pt idx="9">
                  <c:v>Real Estate</c:v>
                </c:pt>
                <c:pt idx="10">
                  <c:v>Technology</c:v>
                </c:pt>
                <c:pt idx="11">
                  <c:v>Utilities</c:v>
                </c:pt>
              </c:strCache>
            </c:strRef>
          </c:cat>
          <c:val>
            <c:numRef>
              <c:f>'VMI Portfolio Dashboard'!$Y$107:$Y$115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6C2-40CA-8EDB-5BE57FE5A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857249</xdr:colOff>
      <xdr:row>41</xdr:row>
      <xdr:rowOff>28575</xdr:rowOff>
    </xdr:from>
    <xdr:to>
      <xdr:col>15</xdr:col>
      <xdr:colOff>0</xdr:colOff>
      <xdr:row>57</xdr:row>
      <xdr:rowOff>60489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FB543E6-91A2-4901-908F-91393AB56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83</xdr:row>
      <xdr:rowOff>0</xdr:rowOff>
    </xdr:from>
    <xdr:to>
      <xdr:col>12</xdr:col>
      <xdr:colOff>473434</xdr:colOff>
      <xdr:row>86</xdr:row>
      <xdr:rowOff>55454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BC6080-5816-4FAA-9387-1C3A5E232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2100" y="21564600"/>
          <a:ext cx="2197459" cy="541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33</xdr:row>
      <xdr:rowOff>139700</xdr:rowOff>
    </xdr:from>
    <xdr:to>
      <xdr:col>12</xdr:col>
      <xdr:colOff>463909</xdr:colOff>
      <xdr:row>37</xdr:row>
      <xdr:rowOff>30054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CCD60-F08E-EC48-9C87-34E2BDEBC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4800" y="8369300"/>
          <a:ext cx="2203809" cy="550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29</xdr:row>
      <xdr:rowOff>0</xdr:rowOff>
    </xdr:from>
    <xdr:to>
      <xdr:col>12</xdr:col>
      <xdr:colOff>473434</xdr:colOff>
      <xdr:row>32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FB8E7-169C-D54C-B26C-1E76ACC3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325" y="6781800"/>
          <a:ext cx="2203809" cy="550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117</xdr:row>
      <xdr:rowOff>0</xdr:rowOff>
    </xdr:from>
    <xdr:to>
      <xdr:col>4</xdr:col>
      <xdr:colOff>1469912</xdr:colOff>
      <xdr:row>164</xdr:row>
      <xdr:rowOff>89807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6401E-66B7-4D5E-B3F0-C50606C6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389164</xdr:colOff>
      <xdr:row>117</xdr:row>
      <xdr:rowOff>19050</xdr:rowOff>
    </xdr:from>
    <xdr:to>
      <xdr:col>9</xdr:col>
      <xdr:colOff>1444398</xdr:colOff>
      <xdr:row>164</xdr:row>
      <xdr:rowOff>107157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46B94-9ED3-4629-9C22-2DAE8B6AE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117</xdr:row>
      <xdr:rowOff>0</xdr:rowOff>
    </xdr:from>
    <xdr:to>
      <xdr:col>14</xdr:col>
      <xdr:colOff>1471613</xdr:colOff>
      <xdr:row>164</xdr:row>
      <xdr:rowOff>88107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77245-AB3F-422C-87E3-DA6709CEF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116</xdr:row>
      <xdr:rowOff>190499</xdr:rowOff>
    </xdr:from>
    <xdr:to>
      <xdr:col>19</xdr:col>
      <xdr:colOff>1471613</xdr:colOff>
      <xdr:row>164</xdr:row>
      <xdr:rowOff>74499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D21720-19C3-4292-976B-0CC878BC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244</xdr:row>
      <xdr:rowOff>0</xdr:rowOff>
    </xdr:from>
    <xdr:to>
      <xdr:col>5</xdr:col>
      <xdr:colOff>28575</xdr:colOff>
      <xdr:row>292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49F2DC-D9EB-406D-BC37-3A5C130C1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4</xdr:col>
      <xdr:colOff>1471613</xdr:colOff>
      <xdr:row>99</xdr:row>
      <xdr:rowOff>88107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A400B5-2765-4C9A-A8F4-A324A3C94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9</xdr:col>
      <xdr:colOff>1471613</xdr:colOff>
      <xdr:row>99</xdr:row>
      <xdr:rowOff>88107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F70217-09D2-4831-8C4E-130C65F06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52</xdr:row>
      <xdr:rowOff>0</xdr:rowOff>
    </xdr:from>
    <xdr:to>
      <xdr:col>14</xdr:col>
      <xdr:colOff>1471613</xdr:colOff>
      <xdr:row>99</xdr:row>
      <xdr:rowOff>88107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7E18B4-2AC1-4393-B3EB-EEFA64997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52</xdr:row>
      <xdr:rowOff>0</xdr:rowOff>
    </xdr:from>
    <xdr:to>
      <xdr:col>19</xdr:col>
      <xdr:colOff>1471613</xdr:colOff>
      <xdr:row>99</xdr:row>
      <xdr:rowOff>88107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F38035-4DBF-4248-8DC5-F2D4E2259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</xdr:colOff>
      <xdr:row>5</xdr:row>
      <xdr:rowOff>0</xdr:rowOff>
    </xdr:from>
    <xdr:to>
      <xdr:col>9</xdr:col>
      <xdr:colOff>898072</xdr:colOff>
      <xdr:row>42</xdr:row>
      <xdr:rowOff>54429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1711EE-8BB7-4F41-B63A-01A5FDB4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117</xdr:row>
      <xdr:rowOff>0</xdr:rowOff>
    </xdr:from>
    <xdr:to>
      <xdr:col>24</xdr:col>
      <xdr:colOff>1471613</xdr:colOff>
      <xdr:row>164</xdr:row>
      <xdr:rowOff>88107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7365A5-75CB-46E6-9DED-339CE1C15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24</xdr:col>
      <xdr:colOff>1471613</xdr:colOff>
      <xdr:row>99</xdr:row>
      <xdr:rowOff>88107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3E833F-D646-4154-B990-EB76CA165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11206</xdr:colOff>
      <xdr:row>184</xdr:row>
      <xdr:rowOff>0</xdr:rowOff>
    </xdr:from>
    <xdr:to>
      <xdr:col>4</xdr:col>
      <xdr:colOff>1481118</xdr:colOff>
      <xdr:row>231</xdr:row>
      <xdr:rowOff>89807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0B87FB9-B178-4ED9-AEBD-F0DE2D624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377958</xdr:colOff>
      <xdr:row>184</xdr:row>
      <xdr:rowOff>22413</xdr:rowOff>
    </xdr:from>
    <xdr:to>
      <xdr:col>9</xdr:col>
      <xdr:colOff>1433192</xdr:colOff>
      <xdr:row>231</xdr:row>
      <xdr:rowOff>89648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D34B99-2199-47B7-B5D6-845285425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0</xdr:colOff>
      <xdr:row>184</xdr:row>
      <xdr:rowOff>11207</xdr:rowOff>
    </xdr:from>
    <xdr:to>
      <xdr:col>14</xdr:col>
      <xdr:colOff>1471613</xdr:colOff>
      <xdr:row>231</xdr:row>
      <xdr:rowOff>67236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CEDDFA-7F80-4D3B-98C0-6A07313EC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183</xdr:row>
      <xdr:rowOff>190499</xdr:rowOff>
    </xdr:from>
    <xdr:to>
      <xdr:col>19</xdr:col>
      <xdr:colOff>1471613</xdr:colOff>
      <xdr:row>231</xdr:row>
      <xdr:rowOff>74499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F80668E-4CDC-4EE2-A694-1A704ABA6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0</xdr:colOff>
      <xdr:row>184</xdr:row>
      <xdr:rowOff>0</xdr:rowOff>
    </xdr:from>
    <xdr:to>
      <xdr:col>24</xdr:col>
      <xdr:colOff>1471613</xdr:colOff>
      <xdr:row>231</xdr:row>
      <xdr:rowOff>88107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E4EB2F-FF7E-42FE-8C05-7F57FB887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238125</xdr:colOff>
      <xdr:row>296</xdr:row>
      <xdr:rowOff>104775</xdr:rowOff>
    </xdr:from>
    <xdr:to>
      <xdr:col>2</xdr:col>
      <xdr:colOff>911584</xdr:colOff>
      <xdr:row>299</xdr:row>
      <xdr:rowOff>45929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AD096F-3041-490F-84F9-6A58398E1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0" y="69903975"/>
          <a:ext cx="2197459" cy="541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3</xdr:col>
      <xdr:colOff>1044934</xdr:colOff>
      <xdr:row>34</xdr:row>
      <xdr:rowOff>160229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2ABA6-8EFC-4BE6-9736-1E455581B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1401425"/>
          <a:ext cx="2197459" cy="5412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3</xdr:col>
      <xdr:colOff>1044934</xdr:colOff>
      <xdr:row>33</xdr:row>
      <xdr:rowOff>160229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C3A26-B965-4B9A-8146-97B1F68DE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1382375"/>
          <a:ext cx="2197459" cy="5412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49</xdr:row>
      <xdr:rowOff>19050</xdr:rowOff>
    </xdr:from>
    <xdr:to>
      <xdr:col>1</xdr:col>
      <xdr:colOff>2330809</xdr:colOff>
      <xdr:row>51</xdr:row>
      <xdr:rowOff>160229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121B66-71DF-4A80-AEB7-E56FC426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9334500"/>
          <a:ext cx="2197459" cy="5412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52</xdr:row>
      <xdr:rowOff>19050</xdr:rowOff>
    </xdr:from>
    <xdr:to>
      <xdr:col>3</xdr:col>
      <xdr:colOff>590909</xdr:colOff>
      <xdr:row>55</xdr:row>
      <xdr:rowOff>71329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FD3CF-D380-3B49-B87A-D8146539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150" y="9340850"/>
          <a:ext cx="2197459" cy="5475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133352</xdr:colOff>
      <xdr:row>34</xdr:row>
      <xdr:rowOff>19050</xdr:rowOff>
    </xdr:from>
    <xdr:to>
      <xdr:col>2</xdr:col>
      <xdr:colOff>1117473</xdr:colOff>
      <xdr:row>37</xdr:row>
      <xdr:rowOff>33229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5B61D-A268-C74D-80A4-5647DAD9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37" y="5861050"/>
          <a:ext cx="2195505" cy="5417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DD7FC6C-63DF-454A-8890-BD49992497F2}" name="_USDashboardTable24" displayName="_USDashboardTable24" ref="G106:J116" totalsRowCount="1" headerRowDxfId="297" dataDxfId="296" totalsRowDxfId="295">
  <autoFilter ref="G106:J115" xr:uid="{00000000-0009-0000-0100-00000B000000}"/>
  <sortState xmlns:xlrd2="http://schemas.microsoft.com/office/spreadsheetml/2017/richdata2" ref="G107:J114">
    <sortCondition ref="G107"/>
  </sortState>
  <tableColumns count="4">
    <tableColumn id="1" xr3:uid="{00000000-0010-0000-0A00-000001000000}" name="Category" totalsRowLabel="TOTAL" dataDxfId="294" totalsRowDxfId="293" dataCellStyle="Normal 3"/>
    <tableColumn id="2" xr3:uid="{00000000-0010-0000-0A00-000002000000}" name="Count" totalsRowFunction="sum" dataDxfId="292" totalsRowDxfId="291">
      <calculatedColumnFormula>COUNTIFS(_TrackerTable35[Country],G$105,_TrackerTable35[Category],_USDashboardTable24[[#This Row],[Category]])</calculatedColumnFormula>
    </tableColumn>
    <tableColumn id="3" xr3:uid="{00000000-0010-0000-0A00-000003000000}" name="Market Value (in USD)" totalsRowFunction="sum" dataDxfId="290" totalsRowDxfId="289">
      <calculatedColumnFormula>SUMIFS(_TrackerTable35[Market Value
(in USD)],_TrackerTable35[Country],G$105,_TrackerTable35[Category],_USDashboardTable24[[#This Row],[Category]])</calculatedColumnFormula>
    </tableColumn>
    <tableColumn id="4" xr3:uid="{00000000-0010-0000-0A00-000004000000}" name="Percentage by Market Value" totalsRowFunction="sum" dataDxfId="288" totalsRowDxfId="287">
      <calculatedColumnFormula>IF(_USDashboardTable24[[#Totals],[Market Value (in USD)]]&gt;0,_USDashboardTable24[[#This Row],[Market Value (in USD)]]/_USDashboardTable24[[#Totals],[Market Value (in USD)]],0)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6BF8993-AC7F-4B36-8BA4-7F295A8B0799}" name="_USDashboardTable525" displayName="_USDashboardTable525" ref="L106:O116" totalsRowCount="1" headerRowDxfId="286" dataDxfId="285" totalsRowDxfId="284">
  <autoFilter ref="L106:O115" xr:uid="{00000000-0009-0000-0100-00000C000000}"/>
  <sortState xmlns:xlrd2="http://schemas.microsoft.com/office/spreadsheetml/2017/richdata2" ref="L107:O114">
    <sortCondition ref="L107"/>
  </sortState>
  <tableColumns count="4">
    <tableColumn id="1" xr3:uid="{00000000-0010-0000-0B00-000001000000}" name="Category" totalsRowLabel="TOTAL" dataDxfId="283" totalsRowDxfId="282" dataCellStyle="Normal 3"/>
    <tableColumn id="2" xr3:uid="{00000000-0010-0000-0B00-000002000000}" name="Count" totalsRowFunction="sum" dataDxfId="281" totalsRowDxfId="280">
      <calculatedColumnFormula>COUNTIFS(_TrackerTable35[Country],L$105,_TrackerTable35[Category],_USDashboardTable525[[#This Row],[Category]])</calculatedColumnFormula>
    </tableColumn>
    <tableColumn id="3" xr3:uid="{00000000-0010-0000-0B00-000003000000}" name="Market Value (in USD)" totalsRowFunction="sum" dataDxfId="279" totalsRowDxfId="278">
      <calculatedColumnFormula>SUMIFS(_TrackerTable35[Market Value
(in USD)],_TrackerTable35[Country],L$105,_TrackerTable35[Category],_USDashboardTable525[[#This Row],[Category]])</calculatedColumnFormula>
    </tableColumn>
    <tableColumn id="4" xr3:uid="{00000000-0010-0000-0B00-000004000000}" name="Percentage by Market Value" totalsRowFunction="sum" dataDxfId="277" totalsRowDxfId="276">
      <calculatedColumnFormula>IF(_USDashboardTable525[[#Totals],[Market Value (in USD)]]&gt;0,_USDashboardTable525[[#This Row],[Market Value (in USD)]]/_USDashboardTable525[[#Totals],[Market Value (in USD)]],0)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30BF843-094D-4F1E-8B28-3E1C9A9A530A}" name="_USDashboardTable5626" displayName="_USDashboardTable5626" ref="B106:E116" totalsRowCount="1" headerRowDxfId="275" dataDxfId="274" totalsRowDxfId="273">
  <autoFilter ref="B106:E115" xr:uid="{00000000-0009-0000-0100-00000D000000}"/>
  <sortState xmlns:xlrd2="http://schemas.microsoft.com/office/spreadsheetml/2017/richdata2" ref="B107:E114">
    <sortCondition ref="B107:B114"/>
  </sortState>
  <tableColumns count="4">
    <tableColumn id="1" xr3:uid="{00000000-0010-0000-0C00-000001000000}" name="Category" totalsRowLabel="TOTAL" dataDxfId="272" totalsRowDxfId="271"/>
    <tableColumn id="2" xr3:uid="{00000000-0010-0000-0C00-000002000000}" name="Count" totalsRowFunction="sum" dataDxfId="270" totalsRowDxfId="269">
      <calculatedColumnFormula>COUNTIFS(_TrackerTable35[Category],_USDashboardTable5626[[#This Row],[Category]])</calculatedColumnFormula>
    </tableColumn>
    <tableColumn id="3" xr3:uid="{00000000-0010-0000-0C00-000003000000}" name="Market Value (in USD)" totalsRowFunction="sum" dataDxfId="268" totalsRowDxfId="267">
      <calculatedColumnFormula>SUMIFS(_TrackerTable35[Market Value
(in USD)],_TrackerTable35[Category],_USDashboardTable5626[[#This Row],[Category]])</calculatedColumnFormula>
    </tableColumn>
    <tableColumn id="4" xr3:uid="{00000000-0010-0000-0C00-000004000000}" name="Percentage by Market Value" totalsRowFunction="sum" dataDxfId="266" totalsRowDxfId="265">
      <calculatedColumnFormula>IF(_USDashboardTable5626[[#Totals],[Market Value (in USD)]]&gt;0,_USDashboardTable5626[[#This Row],[Market Value (in USD)]]/_USDashboardTable5626[[#Totals],[Market Value (in USD)]],0)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8704D0-7C69-4188-9B38-2BC17FF9679A}" name="_USDashboardTable5727" displayName="_USDashboardTable5727" ref="Q106:T116" totalsRowCount="1" headerRowDxfId="264" dataDxfId="263" totalsRowDxfId="262">
  <autoFilter ref="Q106:T115" xr:uid="{00000000-0009-0000-0100-00000E000000}"/>
  <sortState xmlns:xlrd2="http://schemas.microsoft.com/office/spreadsheetml/2017/richdata2" ref="Q107:T114">
    <sortCondition ref="Q107"/>
  </sortState>
  <tableColumns count="4">
    <tableColumn id="1" xr3:uid="{00000000-0010-0000-0D00-000001000000}" name="Category" totalsRowLabel="TOTAL" dataDxfId="261" totalsRowDxfId="260" dataCellStyle="Normal 3"/>
    <tableColumn id="2" xr3:uid="{00000000-0010-0000-0D00-000002000000}" name="Count" totalsRowFunction="sum" dataDxfId="259" totalsRowDxfId="258">
      <calculatedColumnFormula>COUNTIFS(_TrackerTable35[Country],Q$105,_TrackerTable35[Category],_USDashboardTable5727[[#This Row],[Category]])</calculatedColumnFormula>
    </tableColumn>
    <tableColumn id="3" xr3:uid="{00000000-0010-0000-0D00-000003000000}" name="Market Value (in USD)" totalsRowFunction="sum" dataDxfId="257" totalsRowDxfId="256">
      <calculatedColumnFormula>SUMIFS(_TrackerTable35[Market Value
(in USD)],_TrackerTable35[Country],Q$105,_TrackerTable35[Category],_USDashboardTable5727[[#This Row],[Category]])</calculatedColumnFormula>
    </tableColumn>
    <tableColumn id="4" xr3:uid="{00000000-0010-0000-0D00-000004000000}" name="Percentage by Market Value" totalsRowFunction="sum" dataDxfId="255" totalsRowDxfId="254">
      <calculatedColumnFormula>IF(_USDashboardTable5727[[#Totals],[Market Value (in USD)]]&gt;0,_USDashboardTable5727[[#This Row],[Market Value (in USD)]]/_USDashboardTable5727[[#Totals],[Market Value (in USD)]],0)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2B1FC76-038D-47CA-ACC4-B3E16D1266D9}" name="_USDashboardTable56828" displayName="_USDashboardTable56828" ref="B236:E243" totalsRowCount="1" headerRowDxfId="253" dataDxfId="252" totalsRowDxfId="251">
  <autoFilter ref="B236:E242" xr:uid="{00000000-0009-0000-0100-00000F000000}"/>
  <sortState xmlns:xlrd2="http://schemas.microsoft.com/office/spreadsheetml/2017/richdata2" ref="B237:E242">
    <sortCondition ref="B237"/>
  </sortState>
  <tableColumns count="4">
    <tableColumn id="1" xr3:uid="{00000000-0010-0000-0E00-000001000000}" name="Country" totalsRowLabel="TOTAL" dataDxfId="250" totalsRowDxfId="249" totalsRowCellStyle="Normal 3"/>
    <tableColumn id="2" xr3:uid="{00000000-0010-0000-0E00-000002000000}" name="Count" totalsRowFunction="sum" dataDxfId="248" totalsRowDxfId="247" totalsRowCellStyle="Normal 3">
      <calculatedColumnFormula>COUNTIFS(_TrackerTable35[Country],_USDashboardTable56828[[#This Row],[Country]])</calculatedColumnFormula>
    </tableColumn>
    <tableColumn id="3" xr3:uid="{00000000-0010-0000-0E00-000003000000}" name="Market Value (in USD)" totalsRowFunction="sum" dataDxfId="246" totalsRowDxfId="245" totalsRowCellStyle="Normal 3">
      <calculatedColumnFormula>SUMIFS(_TrackerTable35[Market Value
(in USD)],_TrackerTable35[Country],_USDashboardTable56828[[#This Row],[Country]])</calculatedColumnFormula>
    </tableColumn>
    <tableColumn id="4" xr3:uid="{00000000-0010-0000-0E00-000004000000}" name="Percentage by Market Value" totalsRowFunction="sum" dataDxfId="244" totalsRowDxfId="243" totalsRowCellStyle="Normal 3">
      <calculatedColumnFormula>IF(_USDashboardTable56828[[#Totals],[Market Value (in USD)]]&gt;0,_USDashboardTable56828[[#This Row],[Market Value (in USD)]]/_USDashboardTable56828[[#Totals],[Market Value (in USD)]],0)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5A57A21-F2B5-4E92-A723-B66C383BAC68}" name="_USDashboardTable429" displayName="_USDashboardTable429" ref="G47:J51" totalsRowCount="1" headerRowDxfId="242" dataDxfId="241" totalsRowDxfId="240">
  <tableColumns count="4">
    <tableColumn id="1" xr3:uid="{00000000-0010-0000-0F00-000001000000}" name="Type" totalsRowLabel="TOTAL" dataDxfId="239" totalsRowDxfId="238"/>
    <tableColumn id="2" xr3:uid="{00000000-0010-0000-0F00-000002000000}" name="Count" totalsRowFunction="sum" dataDxfId="237" totalsRowDxfId="236">
      <calculatedColumnFormula>COUNTIFS(_TrackerTable35[Country],G$46,_TrackerTable35[Type],_USDashboardTable429[[#This Row],[Type]])</calculatedColumnFormula>
    </tableColumn>
    <tableColumn id="3" xr3:uid="{00000000-0010-0000-0F00-000003000000}" name="Market Value (in USD)" totalsRowFunction="sum" dataDxfId="235" totalsRowDxfId="234">
      <calculatedColumnFormula>SUMIFS(_TrackerTable35[Market Value
(in USD)],_TrackerTable35[Country],G$46,_TrackerTable35[Type],_USDashboardTable429[[#This Row],[Type]])</calculatedColumnFormula>
    </tableColumn>
    <tableColumn id="4" xr3:uid="{00000000-0010-0000-0F00-000004000000}" name="Percentage by Market Value" totalsRowFunction="sum" dataDxfId="233" totalsRowDxfId="232">
      <calculatedColumnFormula>IF(_USDashboardTable429[[#Totals],[Market Value (in USD)]]&gt;0,_USDashboardTable429[[#This Row],[Market Value (in USD)]]/_USDashboardTable429[[#Totals],[Market Value (in USD)]],0)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B1034F-43D6-4A8B-823D-213C0DFF451B}" name="_USDashboardTable5930" displayName="_USDashboardTable5930" ref="L47:O51" totalsRowCount="1" headerRowDxfId="231" dataDxfId="230" totalsRowDxfId="229">
  <tableColumns count="4">
    <tableColumn id="1" xr3:uid="{00000000-0010-0000-1000-000001000000}" name="Type" totalsRowLabel="TOTAL" dataDxfId="228" totalsRowDxfId="227"/>
    <tableColumn id="2" xr3:uid="{00000000-0010-0000-1000-000002000000}" name="Count" totalsRowFunction="sum" dataDxfId="226" totalsRowDxfId="225">
      <calculatedColumnFormula>COUNTIFS(_TrackerTable35[Country],L$46,_TrackerTable35[Type],_USDashboardTable5930[[#This Row],[Type]])</calculatedColumnFormula>
    </tableColumn>
    <tableColumn id="3" xr3:uid="{00000000-0010-0000-1000-000003000000}" name="Market Value (in USD)" totalsRowFunction="sum" dataDxfId="224" totalsRowDxfId="223">
      <calculatedColumnFormula>SUMIFS(_TrackerTable35[Market Value
(in USD)],_TrackerTable35[Country],L$46,_TrackerTable35[Type],_USDashboardTable5930[[#This Row],[Type]])</calculatedColumnFormula>
    </tableColumn>
    <tableColumn id="4" xr3:uid="{00000000-0010-0000-1000-000004000000}" name="Percentage by Market Value" totalsRowFunction="sum" dataDxfId="222" totalsRowDxfId="221">
      <calculatedColumnFormula>IF(_USDashboardTable5930[[#Totals],[Market Value (in USD)]]&gt;0,_USDashboardTable5930[[#This Row],[Market Value (in USD)]]/_USDashboardTable5930[[#Totals],[Market Value (in USD)]],0)</calculatedColumnFormula>
    </tableColumn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16935C1-0945-46DA-A811-7DCBF8BB2616}" name="_USDashboardTable561031" displayName="_USDashboardTable561031" ref="B47:E51" totalsRowCount="1" headerRowDxfId="220" dataDxfId="219" totalsRowDxfId="218">
  <sortState xmlns:xlrd2="http://schemas.microsoft.com/office/spreadsheetml/2017/richdata2" ref="B48:E50">
    <sortCondition ref="B48"/>
  </sortState>
  <tableColumns count="4">
    <tableColumn id="1" xr3:uid="{00000000-0010-0000-1100-000001000000}" name="Type" totalsRowLabel="TOTAL" dataDxfId="217" totalsRowDxfId="216" totalsRowCellStyle="Normal 3"/>
    <tableColumn id="2" xr3:uid="{00000000-0010-0000-1100-000002000000}" name="Count" totalsRowFunction="sum" dataDxfId="215" totalsRowDxfId="214" totalsRowCellStyle="Normal 3">
      <calculatedColumnFormula>COUNTIFS(_TrackerTable35[Type],_USDashboardTable561031[[#This Row],[Type]])</calculatedColumnFormula>
    </tableColumn>
    <tableColumn id="3" xr3:uid="{00000000-0010-0000-1100-000003000000}" name="Market Value (in USD)" totalsRowFunction="sum" dataDxfId="213" totalsRowDxfId="212" totalsRowCellStyle="Normal 3">
      <calculatedColumnFormula>SUMIFS(_TrackerTable35[Market Value
(in USD)],_TrackerTable35[Type],_USDashboardTable561031[[#This Row],[Type]])</calculatedColumnFormula>
    </tableColumn>
    <tableColumn id="4" xr3:uid="{00000000-0010-0000-1100-000004000000}" name="Percentage by Market Value" totalsRowFunction="sum" dataDxfId="211" totalsRowDxfId="210" totalsRowCellStyle="Normal 3">
      <calculatedColumnFormula>IF(_USDashboardTable561031[[#Totals],[Market Value (in USD)]]&gt;0,_USDashboardTable561031[[#This Row],[Market Value (in USD)]]/_USDashboardTable561031[[#Totals],[Market Value (in USD)]],0)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BB6227-39C4-4D84-AE1A-1CB26EF1FC44}" name="_USDashboardTable571132" displayName="_USDashboardTable571132" ref="Q47:T51" totalsRowCount="1" headerRowDxfId="209" dataDxfId="208" totalsRowDxfId="207">
  <tableColumns count="4">
    <tableColumn id="1" xr3:uid="{00000000-0010-0000-1200-000001000000}" name="Type" totalsRowLabel="TOTAL" dataDxfId="206" totalsRowDxfId="205"/>
    <tableColumn id="2" xr3:uid="{00000000-0010-0000-1200-000002000000}" name="Count" totalsRowFunction="sum" dataDxfId="204" totalsRowDxfId="203">
      <calculatedColumnFormula>COUNTIFS(_TrackerTable35[Country],Q$46,_TrackerTable35[Type],_USDashboardTable571132[[#This Row],[Type]])</calculatedColumnFormula>
    </tableColumn>
    <tableColumn id="3" xr3:uid="{00000000-0010-0000-1200-000003000000}" name="Market Value (in USD)" totalsRowFunction="sum" dataDxfId="202" totalsRowDxfId="201">
      <calculatedColumnFormula>SUMIFS(_TrackerTable35[Market Value
(in USD)],_TrackerTable35[Country],Q$46,_TrackerTable35[Type],_USDashboardTable571132[[#This Row],[Type]])</calculatedColumnFormula>
    </tableColumn>
    <tableColumn id="4" xr3:uid="{00000000-0010-0000-1200-000004000000}" name="Percentage by Market Value" totalsRowFunction="sum" dataDxfId="200" totalsRowDxfId="199">
      <calculatedColumnFormula>IF(_USDashboardTable571132[[#Totals],[Market Value (in USD)]]&gt;0,_USDashboardTable571132[[#This Row],[Market Value (in USD)]]/_USDashboardTable571132[[#Totals],[Market Value (in USD)]],0)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36BCA23-0DE1-4486-92DA-87A260D4C9E0}" name="_USDashboardTable571433" displayName="_USDashboardTable571433" ref="V106:Y116" totalsRowCount="1" headerRowDxfId="198" dataDxfId="197" totalsRowDxfId="196">
  <autoFilter ref="V106:Y115" xr:uid="{00000000-0009-0000-0100-000014000000}"/>
  <sortState xmlns:xlrd2="http://schemas.microsoft.com/office/spreadsheetml/2017/richdata2" ref="V107:Y114">
    <sortCondition ref="V107"/>
  </sortState>
  <tableColumns count="4">
    <tableColumn id="1" xr3:uid="{00000000-0010-0000-1300-000001000000}" name="Category" totalsRowLabel="TOTAL" dataDxfId="195" totalsRowDxfId="194" dataCellStyle="Normal 3"/>
    <tableColumn id="2" xr3:uid="{00000000-0010-0000-1300-000002000000}" name="Count" totalsRowFunction="sum" dataDxfId="193" totalsRowDxfId="192">
      <calculatedColumnFormula>COUNTIFS(_TrackerTable35[Country],V$105,_TrackerTable35[Category],_USDashboardTable571433[[#This Row],[Category]])</calculatedColumnFormula>
    </tableColumn>
    <tableColumn id="3" xr3:uid="{00000000-0010-0000-1300-000003000000}" name="Market Value (in USD)" totalsRowFunction="sum" dataDxfId="191" totalsRowDxfId="190">
      <calculatedColumnFormula>SUMIFS(_TrackerTable35[Market Value
(in USD)],_TrackerTable35[Country],V$105,_TrackerTable35[Category],_USDashboardTable571433[[#This Row],[Category]])</calculatedColumnFormula>
    </tableColumn>
    <tableColumn id="4" xr3:uid="{00000000-0010-0000-1300-000004000000}" name="Percentage by Market Value" totalsRowFunction="sum" dataDxfId="189" totalsRowDxfId="188">
      <calculatedColumnFormula>IF(_USDashboardTable571433[[#Totals],[Market Value (in USD)]]&gt;0,_USDashboardTable571433[[#This Row],[Market Value (in USD)]]/_USDashboardTable571433[[#Totals],[Market Value (in USD)]],0)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AB86D9E-A662-4B2D-9598-B83CE07D518B}" name="_USDashboardTable57111534" displayName="_USDashboardTable57111534" ref="V47:Y51" totalsRowCount="1" headerRowDxfId="187" dataDxfId="186" totalsRowDxfId="185">
  <autoFilter ref="V47:Y50" xr:uid="{00000000-0009-0000-0100-000015000000}"/>
  <tableColumns count="4">
    <tableColumn id="1" xr3:uid="{00000000-0010-0000-1400-000001000000}" name="Type" totalsRowLabel="TOTAL" dataDxfId="184" totalsRowDxfId="183"/>
    <tableColumn id="2" xr3:uid="{00000000-0010-0000-1400-000002000000}" name="Count" totalsRowFunction="sum" dataDxfId="182" totalsRowDxfId="181">
      <calculatedColumnFormula>COUNTIFS(_TrackerTable35[Country],V$46,_TrackerTable35[Type],_USDashboardTable57111534[[#This Row],[Type]])</calculatedColumnFormula>
    </tableColumn>
    <tableColumn id="3" xr3:uid="{00000000-0010-0000-1400-000003000000}" name="Market Value (in USD)" totalsRowFunction="sum" dataDxfId="180" totalsRowDxfId="179">
      <calculatedColumnFormula>SUMIFS(_TrackerTable35[Market Value
(in USD)],_TrackerTable35[Country],V$46,_TrackerTable35[Type],_USDashboardTable57111534[[#This Row],[Type]])</calculatedColumnFormula>
    </tableColumn>
    <tableColumn id="4" xr3:uid="{00000000-0010-0000-1400-000004000000}" name="Percentage by Market Value" totalsRowFunction="sum" dataDxfId="178" totalsRowDxfId="177">
      <calculatedColumnFormula>IF(_USDashboardTable57111534[[#Totals],[Market Value (in USD)]]&gt;0,_USDashboardTable57111534[[#This Row],[Market Value (in USD)]]/_USDashboardTable57111534[[#Totals],[Market Value (in USD)]],0)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69CEC-6EF7-4DF6-B805-3AF939914465}" name="_USDashboardTable243" displayName="_USDashboardTable243" ref="G170:J183" totalsRowCount="1" headerRowDxfId="176" dataDxfId="175" totalsRowDxfId="174">
  <autoFilter ref="G170:J182" xr:uid="{B7769CEC-6EF7-4DF6-B805-3AF939914465}"/>
  <sortState xmlns:xlrd2="http://schemas.microsoft.com/office/spreadsheetml/2017/richdata2" ref="G171:J182">
    <sortCondition ref="G107"/>
  </sortState>
  <tableColumns count="4">
    <tableColumn id="1" xr3:uid="{C127F364-B62B-4C50-BFEF-69342E09E094}" name="Sector" totalsRowLabel="TOTAL" dataDxfId="173" totalsRowDxfId="172" dataCellStyle="Normal 3"/>
    <tableColumn id="2" xr3:uid="{2F1AFB8C-7936-4466-85A9-5C2A5955E2CC}" name="Count" totalsRowFunction="sum" dataDxfId="171" totalsRowDxfId="170" dataCellStyle="Normal 3">
      <calculatedColumnFormula>COUNTIFS(_TrackerTable35[Country],G$169,_TrackerTable35[Sector],_USDashboardTable243[[#This Row],[Sector]])</calculatedColumnFormula>
    </tableColumn>
    <tableColumn id="3" xr3:uid="{6118257F-BE59-42FA-B64A-620D37A9B325}" name="Market Value (in USD)" totalsRowFunction="sum" dataDxfId="169" totalsRowDxfId="168" dataCellStyle="Normal 3">
      <calculatedColumnFormula>SUMIFS(_TrackerTable35[Market Value
(in USD)],_TrackerTable35[Country],G$169,_TrackerTable35[Sector],_USDashboardTable243[[#This Row],[Sector]])</calculatedColumnFormula>
    </tableColumn>
    <tableColumn id="4" xr3:uid="{EB9B9D9A-BE9C-4459-964C-1165B3604799}" name="Percentage by Market Value" totalsRowFunction="sum" dataDxfId="167" totalsRowDxfId="166">
      <calculatedColumnFormula>IF(_USDashboardTable243[[#Totals],[Market Value (in USD)]]&gt;0,_USDashboardTable243[[#This Row],[Market Value (in USD)]]/_USDashboardTable243[[#Totals],[Market Value (in USD)]],0)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5F10B-B5CE-4A09-B794-E97A9D7208B5}" name="_USDashboardTable5254" displayName="_USDashboardTable5254" ref="L170:O183" totalsRowCount="1" headerRowDxfId="165" dataDxfId="164" totalsRowDxfId="163">
  <autoFilter ref="L170:O182" xr:uid="{F145F10B-B5CE-4A09-B794-E97A9D7208B5}"/>
  <sortState xmlns:xlrd2="http://schemas.microsoft.com/office/spreadsheetml/2017/richdata2" ref="L171:O182">
    <sortCondition ref="L107"/>
  </sortState>
  <tableColumns count="4">
    <tableColumn id="1" xr3:uid="{23E5BC1A-997A-450E-8198-AD407C33CBAB}" name="Sector" totalsRowLabel="TOTAL" dataDxfId="162" totalsRowDxfId="161" dataCellStyle="Normal 3"/>
    <tableColumn id="2" xr3:uid="{70F8A391-9CB8-4C67-87DF-D918A4FC6EEF}" name="Count" totalsRowFunction="sum" dataDxfId="160" totalsRowDxfId="159" dataCellStyle="Normal 3">
      <calculatedColumnFormula>COUNTIFS(_TrackerTable35[Country],L$169,_TrackerTable35[Sector],_USDashboardTable5254[[#This Row],[Sector]])</calculatedColumnFormula>
    </tableColumn>
    <tableColumn id="3" xr3:uid="{73BE1D4A-6AC6-416E-8188-ECB78D31BF2C}" name="Market Value (in USD)" totalsRowFunction="sum" dataDxfId="158" totalsRowDxfId="157" dataCellStyle="Currency 2">
      <calculatedColumnFormula>SUMIFS(_TrackerTable35[Market Value
(in USD)],_TrackerTable35[Country],L$169,_TrackerTable35[Sector],_USDashboardTable5254[[#This Row],[Sector]])</calculatedColumnFormula>
    </tableColumn>
    <tableColumn id="4" xr3:uid="{272F9727-0C06-4245-864F-197B6CE31822}" name="Percentage by Market Value" totalsRowFunction="sum" dataDxfId="156" totalsRowDxfId="155">
      <calculatedColumnFormula>IF(_USDashboardTable5254[[#Totals],[Market Value (in USD)]]&gt;0,_USDashboardTable5254[[#This Row],[Market Value (in USD)]]/_USDashboardTable5254[[#Totals],[Market Value (in USD)]],0)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DCBCF-EB70-4D4C-8A5B-288156EA3DF4}" name="_USDashboardTable56265" displayName="_USDashboardTable56265" ref="B170:E183" totalsRowCount="1" headerRowDxfId="154" dataDxfId="153" totalsRowDxfId="152">
  <autoFilter ref="B170:E182" xr:uid="{DEBDCBCF-EB70-4D4C-8A5B-288156EA3DF4}"/>
  <sortState xmlns:xlrd2="http://schemas.microsoft.com/office/spreadsheetml/2017/richdata2" ref="B171:E182">
    <sortCondition ref="B170:B182"/>
  </sortState>
  <tableColumns count="4">
    <tableColumn id="1" xr3:uid="{6AA0569F-E162-4C25-8408-ED9D9AEC384B}" name="Sector" totalsRowLabel="TOTAL" dataDxfId="151" totalsRowDxfId="150"/>
    <tableColumn id="2" xr3:uid="{991BF0BA-7EB5-42B5-8B41-D43D77AEE492}" name="Count" totalsRowFunction="sum" dataDxfId="149" totalsRowDxfId="148">
      <calculatedColumnFormula>COUNTIFS(_TrackerTable35[Sector],_USDashboardTable56265[[#This Row],[Sector]])</calculatedColumnFormula>
    </tableColumn>
    <tableColumn id="3" xr3:uid="{ABD25043-9F75-463A-BBED-9DD51F3BC82E}" name="Market Value (in USD)" totalsRowFunction="sum" dataDxfId="147" totalsRowDxfId="146">
      <calculatedColumnFormula>SUMIFS(_TrackerTable35[Market Value
(in USD)],_TrackerTable35[Sector],_USDashboardTable56265[[#This Row],[Sector]])</calculatedColumnFormula>
    </tableColumn>
    <tableColumn id="4" xr3:uid="{53509D15-E6F2-4E2C-91E8-C99681475702}" name="Percentage by Market Value" totalsRowFunction="sum" dataDxfId="145" totalsRowDxfId="144">
      <calculatedColumnFormula>IF(_USDashboardTable56265[[#Totals],[Market Value (in USD)]]&gt;0,_USDashboardTable56265[[#This Row],[Market Value (in USD)]]/_USDashboardTable56265[[#Totals],[Market Value (in USD)]],0)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4A72E-8B24-4BB9-A7A1-C9B079B5BEAE}" name="_USDashboardTable57276" displayName="_USDashboardTable57276" ref="Q170:T183" totalsRowCount="1" headerRowDxfId="143" dataDxfId="142" totalsRowDxfId="141">
  <autoFilter ref="Q170:T182" xr:uid="{AB24A72E-8B24-4BB9-A7A1-C9B079B5BEAE}"/>
  <sortState xmlns:xlrd2="http://schemas.microsoft.com/office/spreadsheetml/2017/richdata2" ref="Q171:T182">
    <sortCondition ref="Q107"/>
  </sortState>
  <tableColumns count="4">
    <tableColumn id="1" xr3:uid="{D7E7CD3F-5408-4DE0-84BB-EF3197C9CB99}" name="Sector" totalsRowLabel="TOTAL" dataDxfId="140" totalsRowDxfId="139" dataCellStyle="Normal 3"/>
    <tableColumn id="2" xr3:uid="{F814542B-313B-4431-8B26-79C371C8E5A4}" name="Count" totalsRowFunction="sum" dataDxfId="138" totalsRowDxfId="137" dataCellStyle="Normal 3">
      <calculatedColumnFormula>COUNTIFS(_TrackerTable35[Country],Q$169,_TrackerTable35[Sector],_USDashboardTable57276[[#This Row],[Sector]])</calculatedColumnFormula>
    </tableColumn>
    <tableColumn id="3" xr3:uid="{86BDEB30-5916-42E6-A0A0-24A01D7265C9}" name="Market Value (in USD)" totalsRowFunction="sum" dataDxfId="136" totalsRowDxfId="135" dataCellStyle="Currency 2">
      <calculatedColumnFormula>SUMIFS(_TrackerTable35[Market Value
(in USD)],_TrackerTable35[Country],Q$169,_TrackerTable35[Sector],_USDashboardTable57276[[#This Row],[Sector]])</calculatedColumnFormula>
    </tableColumn>
    <tableColumn id="4" xr3:uid="{16118C05-1663-473B-9631-1A44DB1A38FC}" name="Percentage by Market Value" totalsRowFunction="sum" dataDxfId="134" totalsRowDxfId="133">
      <calculatedColumnFormula>IF(_USDashboardTable57276[[#Totals],[Market Value (in USD)]]&gt;0,_USDashboardTable57276[[#This Row],[Market Value (in USD)]]/_USDashboardTable57276[[#Totals],[Market Value (in USD)]],0)</calculatedColumnFormula>
    </tableColumn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A955EA-E77D-4A37-8A25-B1AD7E187E3C}" name="_USDashboardTable5714337" displayName="_USDashboardTable5714337" ref="V170:Y183" totalsRowCount="1" headerRowDxfId="132" dataDxfId="131" totalsRowDxfId="130">
  <autoFilter ref="V170:Y182" xr:uid="{18A955EA-E77D-4A37-8A25-B1AD7E187E3C}"/>
  <sortState xmlns:xlrd2="http://schemas.microsoft.com/office/spreadsheetml/2017/richdata2" ref="V171:Y182">
    <sortCondition ref="V107"/>
  </sortState>
  <tableColumns count="4">
    <tableColumn id="1" xr3:uid="{A4DD65B0-2552-4CC6-9A64-E717F4912E88}" name="Sector" totalsRowLabel="TOTAL" dataDxfId="129" totalsRowDxfId="128" dataCellStyle="Normal 3"/>
    <tableColumn id="2" xr3:uid="{6C5D38DA-C9FF-45F3-8233-80FEDC1FA247}" name="Count" totalsRowFunction="sum" dataDxfId="127" totalsRowDxfId="126" dataCellStyle="Normal 3">
      <calculatedColumnFormula>COUNTIFS(_TrackerTable35[Country],V$169,_TrackerTable35[Sector],_USDashboardTable5714337[[#This Row],[Sector]])</calculatedColumnFormula>
    </tableColumn>
    <tableColumn id="3" xr3:uid="{EEF98F95-B6CF-4580-8C31-5AB8BE936D8F}" name="Market Value (in USD)" totalsRowFunction="sum" dataDxfId="125" totalsRowDxfId="124" dataCellStyle="Currency 2">
      <calculatedColumnFormula>SUMIFS(_TrackerTable35[Market Value
(in USD)],_TrackerTable35[Country],V$169,_TrackerTable35[Sector],_USDashboardTable5714337[[#This Row],[Sector]])</calculatedColumnFormula>
    </tableColumn>
    <tableColumn id="4" xr3:uid="{BB0C07EA-1401-4D73-AB8F-02B3F1F1D31A}" name="Percentage by Market Value" totalsRowFunction="sum" dataDxfId="123" totalsRowDxfId="122">
      <calculatedColumnFormula>IF(_USDashboardTable5714337[[#Totals],[Market Value (in USD)]]&gt;0,_USDashboardTable5714337[[#This Row],[Market Value (in USD)]]/_USDashboardTable5714337[[#Totals],[Market Value (in USD)]],0)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20AB5C7-B471-4C96-8BC7-2333C8CDE218}" name="_TrackerTable35" displayName="_TrackerTable35" ref="B9:AE30" totalsRowCount="1" headerRowDxfId="121" dataDxfId="119" totalsRowDxfId="117" headerRowBorderDxfId="120" tableBorderDxfId="118">
  <sortState xmlns:xlrd2="http://schemas.microsoft.com/office/spreadsheetml/2017/richdata2" ref="B10:AE11">
    <sortCondition ref="B9:B11"/>
  </sortState>
  <tableColumns count="30">
    <tableColumn id="1" xr3:uid="{00000000-0010-0000-1500-000001000000}" name="#" dataDxfId="116" totalsRowDxfId="115"/>
    <tableColumn id="2" xr3:uid="{00000000-0010-0000-1500-000002000000}" name="Ticker" dataDxfId="114" totalsRowDxfId="113" dataCellStyle="Normal 3"/>
    <tableColumn id="27" xr3:uid="{00000000-0010-0000-1500-00001B000000}" name="Name" dataDxfId="112" totalsRowDxfId="111"/>
    <tableColumn id="3" xr3:uid="{00000000-0010-0000-1500-000003000000}" name="Sector" dataDxfId="110" totalsRowDxfId="109" dataCellStyle="Normal 3"/>
    <tableColumn id="4" xr3:uid="{00000000-0010-0000-1500-000004000000}" name="Category" dataDxfId="108" totalsRowDxfId="107" dataCellStyle="Normal 3"/>
    <tableColumn id="5" xr3:uid="{00000000-0010-0000-1500-000005000000}" name="Type" dataDxfId="106" totalsRowDxfId="105" dataCellStyle="Normal 3"/>
    <tableColumn id="6" xr3:uid="{00000000-0010-0000-1500-000006000000}" name="Country" dataDxfId="104" totalsRowDxfId="103" dataCellStyle="Normal 3"/>
    <tableColumn id="7" xr3:uid="{00000000-0010-0000-1500-000007000000}" name="Listed_x000a_Currency" dataDxfId="102" totalsRowDxfId="101"/>
    <tableColumn id="8" xr3:uid="{00000000-0010-0000-1500-000008000000}" name="Exchange Rate _x000a_(1 USD to xxx Listed Currency)" dataDxfId="100" totalsRowDxfId="99"/>
    <tableColumn id="25" xr3:uid="{00000000-0010-0000-1500-000019000000}" name="Planned Allocation_x000a_(in Listed Currency)" dataDxfId="98" totalsRowDxfId="97"/>
    <tableColumn id="9" xr3:uid="{00000000-0010-0000-1500-000009000000}" name="Quantity" dataDxfId="96" totalsRowDxfId="95"/>
    <tableColumn id="10" xr3:uid="{00000000-0010-0000-1500-00000A000000}" name="Avg Cost per Share_x000a_(in Listed Currency)" dataDxfId="94" totalsRowDxfId="93"/>
    <tableColumn id="21" xr3:uid="{00000000-0010-0000-1500-000015000000}" name="Valuation Date" dataDxfId="92" totalsRowDxfId="91"/>
    <tableColumn id="19" xr3:uid="{00000000-0010-0000-1500-000013000000}" name="Intrinsic Value_x000a_(in Listed Currency)" dataDxfId="90" totalsRowDxfId="89"/>
    <tableColumn id="23" xr3:uid="{00000000-0010-0000-1500-000017000000}" name="Total Dividend Received_x000a_(in Listed Currency)" dataDxfId="88" totalsRowDxfId="87"/>
    <tableColumn id="14" xr3:uid="{00000000-0010-0000-1500-00000E000000}" name="Current  Price_x000a_(in Listed Currency)" dataDxfId="86" totalsRowDxfId="85"/>
    <tableColumn id="11" xr3:uid="{00000000-0010-0000-1500-00000B000000}" name="Avg Cost per Share_x000a_(in USD)" totalsRowLabel="TOTAL" dataDxfId="84" totalsRowDxfId="83">
      <calculatedColumnFormula>IFERROR(_TrackerTable35[[#This Row],[Avg Cost per Share
(in Listed Currency)]]/_TrackerTable35[[#This Row],[Exchange Rate 
(1 USD to xxx Listed Currency)]],"NA")</calculatedColumnFormula>
    </tableColumn>
    <tableColumn id="12" xr3:uid="{00000000-0010-0000-1500-00000C000000}" name="Total Cost_x000a_(in USD)" totalsRowFunction="sum" dataDxfId="82" totalsRowDxfId="81">
      <calculatedColumnFormula>IFERROR(_TrackerTable35[[#This Row],[Quantity]]*_TrackerTable35[[#This Row],[Avg Cost per Share
(in USD)]],"NA")</calculatedColumnFormula>
    </tableColumn>
    <tableColumn id="28" xr3:uid="{00000000-0010-0000-1500-00001C000000}" name="Planned Allocation_x000a_(in USD)" totalsRowFunction="sum" dataDxfId="80" totalsRowDxfId="79">
      <calculatedColumnFormula>IFERROR(_TrackerTable35[[#This Row],[Planned Allocation
(in Listed Currency)]]/_TrackerTable35[[#This Row],[Exchange Rate 
(1 USD to xxx Listed Currency)]],"NA")</calculatedColumnFormula>
    </tableColumn>
    <tableColumn id="30" xr3:uid="{D58FF4D2-F4D0-4D58-931E-64D8E35A5CCD}" name="Planned Allocation_x000a_(in %)" dataDxfId="78" totalsRowDxfId="77">
      <calculatedColumnFormula>IFERROR(_TrackerTable35[[#This Row],[Planned Allocation
(in USD)]]/_TrackerTable35[[#Totals],[Planned Allocation
(in USD)]],"NA")</calculatedColumnFormula>
    </tableColumn>
    <tableColumn id="24" xr3:uid="{00000000-0010-0000-1500-000018000000}" name="% Allocated" dataDxfId="76" totalsRowDxfId="75">
      <calculatedColumnFormula>IFERROR(_TrackerTable35[[#This Row],[Total Cost
(in USD)]]/_TrackerTable35[[#This Row],[Planned Allocation
(in USD)]],"NA")</calculatedColumnFormula>
    </tableColumn>
    <tableColumn id="20" xr3:uid="{00000000-0010-0000-1500-000014000000}" name="Intrinsic Value_x000a_(in USD)" dataDxfId="74" totalsRowDxfId="73">
      <calculatedColumnFormula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calculatedColumnFormula>
    </tableColumn>
    <tableColumn id="22" xr3:uid="{00000000-0010-0000-1500-000016000000}" name="Discount / Premium" dataDxfId="72" totalsRowDxfId="71">
      <calculatedColumnFormula>IFERROR(_TrackerTable35[[#This Row],[Current Price
(in USD)]]/_TrackerTable35[[#This Row],[Intrinsic Value
(in USD)]]-1,"NA")</calculatedColumnFormula>
    </tableColumn>
    <tableColumn id="17" xr3:uid="{00000000-0010-0000-1500-000011000000}" name="Current Price_x000a_(in USD)" dataDxfId="70" totalsRowDxfId="69" dataCellStyle="Currency 2">
      <calculatedColumnFormula>IF(_TrackerTable35[[#This Row],[Exchange Rate 
(1 USD to xxx Listed Currency)]]&gt;0,_TrackerTable35[[#This Row],[Current  Price
(in Listed Currency)]]/_TrackerTable35[[#This Row],[Exchange Rate 
(1 USD to xxx Listed Currency)]],"NA")</calculatedColumnFormula>
    </tableColumn>
    <tableColumn id="15" xr3:uid="{00000000-0010-0000-1500-00000F000000}" name="Market Value_x000a_(in USD)" totalsRowFunction="sum" dataDxfId="68" totalsRowDxfId="67">
      <calculatedColumnFormula>IFERROR(_TrackerTable35[[#This Row],[Current Price
(in USD)]]*_TrackerTable35[[#This Row],[Quantity]],"NA")</calculatedColumnFormula>
    </tableColumn>
    <tableColumn id="18" xr3:uid="{00000000-0010-0000-1500-000012000000}" name="% of Portfolio_x000a_(by Market Value)" dataDxfId="66" totalsRowDxfId="65">
      <calculatedColumnFormula>IFERROR(IF(AND(_TrackerTable35[[#This Row],[Market Value
(in USD)]]&gt;0,_TrackerTable35[[#Totals],[Market Value
(in USD)]]&gt;0),_TrackerTable35[[#This Row],[Market Value
(in USD)]]/_TrackerTable35[[#Totals],[Market Value
(in USD)]],"NA"),"NA")</calculatedColumnFormula>
    </tableColumn>
    <tableColumn id="29" xr3:uid="{00000000-0010-0000-1500-00001D000000}" name="% Change_x000a_(excludes Dividend)" dataDxfId="64" totalsRowDxfId="63">
      <calculatedColumnFormula>IFERROR(_TrackerTable35[[#This Row],[Market Value
(in USD)]]/_TrackerTable35[[#This Row],[Total Cost
(in USD)]]-1,"NA")</calculatedColumnFormula>
    </tableColumn>
    <tableColumn id="26" xr3:uid="{00000000-0010-0000-1500-00001A000000}" name="Total Dividend Received_x000a_(in USD)" totalsRowFunction="sum" dataDxfId="62" totalsRowDxfId="61">
      <calculatedColumnFormula>IFERROR(_TrackerTable35[[#This Row],[Total Dividend Received
(in Listed Currency)]]/_TrackerTable35[[#This Row],[Exchange Rate 
(1 USD to xxx Listed Currency)]],"NA")</calculatedColumnFormula>
    </tableColumn>
    <tableColumn id="13" xr3:uid="{00000000-0010-0000-1500-00000D000000}" name="Total Dividend Received_x000a_(% of Total Cost)" dataDxfId="60" totalsRowDxfId="59">
      <calculatedColumnFormula>IFERROR(_TrackerTable35[[#This Row],[Total Dividend Received
(in USD)]]/_TrackerTable35[[#This Row],[Total Cost
(in USD)]],"NA")</calculatedColumnFormula>
    </tableColumn>
    <tableColumn id="16" xr3:uid="{00000000-0010-0000-1500-000010000000}" name="% Change_x000a_(includes Dividend)" dataDxfId="58" totalsRowDxfId="57">
      <calculatedColumnFormula>IFERROR((_TrackerTable35[[#This Row],[Total Dividend Received
(in USD)]]+_TrackerTable35[[#This Row],[Market Value
(in USD)]])/_TrackerTable35[[#This Row],[Total Cost
(in USD)]]-1,"NA")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BD68B9F-AFB4-4C31-9E21-AC9BF645ACC5}" name="_TrackerTable3543" displayName="_TrackerTable3543" ref="B7:U29" totalsRowCount="1" headerRowDxfId="56" dataDxfId="54" totalsRowDxfId="52" headerRowBorderDxfId="55" tableBorderDxfId="53">
  <sortState xmlns:xlrd2="http://schemas.microsoft.com/office/spreadsheetml/2017/richdata2" ref="B8:U9">
    <sortCondition ref="B7:B9"/>
  </sortState>
  <tableColumns count="20">
    <tableColumn id="1" xr3:uid="{072A048C-29E9-429D-AFCF-A92D6B3790F7}" name="#" dataDxfId="51" totalsRowDxfId="50"/>
    <tableColumn id="2" xr3:uid="{CBCE0726-77E5-4D8A-8491-820B791F2F31}" name="Ticker" dataDxfId="49" totalsRowDxfId="48" dataCellStyle="Normal 3"/>
    <tableColumn id="27" xr3:uid="{F6514CFC-6027-4417-BC7F-1FB11DB6F957}" name="Name" dataDxfId="47" totalsRowDxfId="46"/>
    <tableColumn id="3" xr3:uid="{80B0BE04-65E3-4B64-A7F5-907D2A095647}" name="Sector" dataDxfId="45" totalsRowDxfId="44" dataCellStyle="Normal 3"/>
    <tableColumn id="4" xr3:uid="{F5ADE758-BB40-416C-895A-473ACD2FF1C1}" name="Category" dataDxfId="43" totalsRowDxfId="42" dataCellStyle="Normal 3"/>
    <tableColumn id="5" xr3:uid="{E600CBC8-F504-4BE6-B912-AA3DF89A46E1}" name="Type" dataDxfId="41" totalsRowDxfId="40" dataCellStyle="Normal 3"/>
    <tableColumn id="6" xr3:uid="{6187A418-66B5-4CDA-911A-EFE9FC561155}" name="Country" dataDxfId="39" totalsRowDxfId="38" dataCellStyle="Normal 3"/>
    <tableColumn id="7" xr3:uid="{155B3BB1-7F41-4F1C-B807-3FDCE58E5FB5}" name="Listed_x000a_Currency" dataDxfId="37" totalsRowDxfId="36"/>
    <tableColumn id="8" xr3:uid="{249083E1-0463-4207-BBA2-05918861B573}" name="Exchange Rate _x000a_(1 USD to xxx Listed Currency)" dataDxfId="35" totalsRowDxfId="34"/>
    <tableColumn id="9" xr3:uid="{7A282D61-0FCA-4F23-964E-2C251F4A3200}" name="Quantity" dataDxfId="33" totalsRowDxfId="32"/>
    <tableColumn id="10" xr3:uid="{87756CC8-1B29-49BC-8B4C-9988D3951C5F}" name="Avg Cost per Share_x000a_(in Listed Currency)" dataDxfId="31" totalsRowDxfId="30"/>
    <tableColumn id="23" xr3:uid="{83C82D6F-759D-4104-A24B-17E0DBEA71EE}" name="Total Dividend Received_x000a_(in Listed Currency)" dataDxfId="29" totalsRowDxfId="28"/>
    <tableColumn id="14" xr3:uid="{BF318EFF-AD76-4473-A134-F010A5AC0F7D}" name="Closed Price_x000a_(in Listed Currency)" dataDxfId="27" totalsRowDxfId="26"/>
    <tableColumn id="11" xr3:uid="{553DAC2C-0347-455F-A051-901653858318}" name="Avg Cost per Share_x000a_(in USD)" totalsRowLabel="TOTAL" dataDxfId="25" totalsRowDxfId="24">
      <calculatedColumnFormula>IFERROR(_TrackerTable3543[[#This Row],[Avg Cost per Share
(in Listed Currency)]]/_TrackerTable3543[[#This Row],[Exchange Rate 
(1 USD to xxx Listed Currency)]],"NA")</calculatedColumnFormula>
    </tableColumn>
    <tableColumn id="12" xr3:uid="{B1C4DA3F-EDA2-4084-92F5-4395B9046F84}" name="Total Cost_x000a_(in USD)" totalsRowFunction="sum" dataDxfId="23" totalsRowDxfId="22">
      <calculatedColumnFormula>IFERROR(_TrackerTable3543[[#This Row],[Quantity]]*_TrackerTable3543[[#This Row],[Avg Cost per Share
(in USD)]],"NA")</calculatedColumnFormula>
    </tableColumn>
    <tableColumn id="17" xr3:uid="{37584F1A-6E4C-4340-9B65-531C96E45C8D}" name="Closed Price_x000a_(in USD)" dataDxfId="21" totalsRowDxfId="20" dataCellStyle="Currency 2">
      <calculatedColumnFormula>IF(_TrackerTable3543[[#This Row],[Exchange Rate 
(1 USD to xxx Listed Currency)]]&gt;0,_TrackerTable3543[[#This Row],[Closed Price
(in Listed Currency)]]/_TrackerTable3543[[#This Row],[Exchange Rate 
(1 USD to xxx Listed Currency)]],"NA")</calculatedColumnFormula>
    </tableColumn>
    <tableColumn id="15" xr3:uid="{8F06F002-2DC7-41D3-9CE0-273F1C020C34}" name="Closed Value_x000a_(in USD)" totalsRowFunction="sum" dataDxfId="19" totalsRowDxfId="18">
      <calculatedColumnFormula>IFERROR(_TrackerTable3543[[#This Row],[Closed Price
(in USD)]]*_TrackerTable3543[[#This Row],[Quantity]],"NA")</calculatedColumnFormula>
    </tableColumn>
    <tableColumn id="26" xr3:uid="{1085A7EE-E3AF-40AC-9326-514C25248D68}" name="Total Dividend Received_x000a_(in USD)" totalsRowFunction="sum" dataDxfId="17" totalsRowDxfId="16" dataCellStyle="Currency 2">
      <calculatedColumnFormula>IFERROR(_TrackerTable3543[[#This Row],[Total Dividend Received
(in Listed Currency)]]/_TrackerTable3543[[#This Row],[Exchange Rate 
(1 USD to xxx Listed Currency)]],"NA")</calculatedColumnFormula>
    </tableColumn>
    <tableColumn id="13" xr3:uid="{DC190221-1F34-48D0-9F56-7244E2C16CDA}" name="Total Profit &amp; Loss" totalsRowFunction="sum" dataDxfId="15" totalsRowDxfId="14" dataCellStyle="Currency 2">
      <calculatedColumnFormula>IFERROR(_TrackerTable3543[[#This Row],[Closed Value
(in USD)]]+_TrackerTable3543[[#This Row],[Total Dividend Received
(in USD)]]-_TrackerTable3543[[#This Row],[Total Cost
(in USD)]],"NA")</calculatedColumnFormula>
    </tableColumn>
    <tableColumn id="29" xr3:uid="{5BA3E926-1CF9-4F72-8293-E3BC218A613F}" name="% Total Profit and Loss" totalsRowFunction="custom" dataDxfId="13" totalsRowDxfId="12">
      <calculatedColumnFormula>IFERROR(_TrackerTable3543[[#This Row],[Total Profit &amp; Loss]]/_TrackerTable3543[[#This Row],[Total Cost
(in USD)]],"NA")</calculatedColumnFormula>
      <totalsRowFormula>_xlfn.IFNA(_TrackerTable3543[[#Totals],[Total Profit &amp; Loss]]/_TrackerTable3543[[#Totals],[Total Cost
(in USD)]]-1,"NA")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arket-risk-premia.com/hk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vmlDrawing" Target="../drawings/vmlDrawing4.vml"/><Relationship Id="rId16" Type="http://schemas.openxmlformats.org/officeDocument/2006/relationships/table" Target="../tables/table14.xml"/><Relationship Id="rId1" Type="http://schemas.openxmlformats.org/officeDocument/2006/relationships/drawing" Target="../drawings/drawing4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19" Type="http://schemas.openxmlformats.org/officeDocument/2006/relationships/comments" Target="../comments4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5.xml"/><Relationship Id="rId4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www.market-risk-premia.com/hk.html" TargetMode="External"/><Relationship Id="rId1" Type="http://schemas.openxmlformats.org/officeDocument/2006/relationships/hyperlink" Target="https://www.market-risk-premia.com/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4B6A-2E6A-4145-90F3-91ACC58E9DA7}">
  <sheetPr>
    <tabColor rgb="FF485D73"/>
  </sheetPr>
  <dimension ref="A1:AQ88"/>
  <sheetViews>
    <sheetView showGridLines="0" tabSelected="1" zoomScaleNormal="100" zoomScaleSheetLayoutView="394" workbookViewId="0"/>
  </sheetViews>
  <sheetFormatPr baseColWidth="10" defaultColWidth="8.6640625" defaultRowHeight="13" x14ac:dyDescent="0.15"/>
  <cols>
    <col min="1" max="1" width="1.1640625" style="97" customWidth="1"/>
    <col min="2" max="2" width="5.6640625" style="97" customWidth="1"/>
    <col min="3" max="15" width="13.6640625" style="97" customWidth="1"/>
    <col min="16" max="16" width="6.6640625" style="97" customWidth="1"/>
    <col min="17" max="17" width="1.1640625" style="97" customWidth="1"/>
    <col min="18" max="34" width="8.6640625" style="97"/>
    <col min="35" max="35" width="23.6640625" style="97" hidden="1" customWidth="1"/>
    <col min="36" max="36" width="26.6640625" style="97" hidden="1" customWidth="1"/>
    <col min="37" max="37" width="18.1640625" style="97" hidden="1" customWidth="1"/>
    <col min="38" max="38" width="33.6640625" style="97" hidden="1" customWidth="1"/>
    <col min="39" max="39" width="34.1640625" style="97" hidden="1" customWidth="1"/>
    <col min="40" max="40" width="28.33203125" style="97" hidden="1" customWidth="1"/>
    <col min="41" max="41" width="30.6640625" style="97" hidden="1" customWidth="1"/>
    <col min="42" max="42" width="35.6640625" style="97" hidden="1" customWidth="1"/>
    <col min="43" max="16384" width="8.6640625" style="97"/>
  </cols>
  <sheetData>
    <row r="1" spans="1:17" ht="7.5" customHeight="1" thickBot="1" x14ac:dyDescent="0.3">
      <c r="A1" s="86"/>
      <c r="B1" s="86"/>
      <c r="C1" s="87"/>
      <c r="D1" s="87"/>
      <c r="E1" s="87"/>
      <c r="F1" s="88"/>
      <c r="G1" s="88"/>
      <c r="H1" s="88"/>
      <c r="I1" s="88"/>
      <c r="J1" s="88"/>
      <c r="K1" s="88"/>
      <c r="L1" s="88"/>
      <c r="M1" s="88"/>
      <c r="N1" s="88"/>
      <c r="O1" s="88"/>
      <c r="P1" s="86"/>
      <c r="Q1" s="86"/>
    </row>
    <row r="2" spans="1:17" ht="41.25" customHeight="1" x14ac:dyDescent="0.25">
      <c r="A2" s="86"/>
      <c r="B2" s="449" t="str">
        <f>"Intrinsic Value Calculator ("&amp;VLOOKUP(F12,AI32:AP34,7,FALSE)&amp;" 20 years)"</f>
        <v>Intrinsic Value Calculator (Discounted Free Cash Flow Method 20 years)</v>
      </c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86"/>
    </row>
    <row r="3" spans="1:17" ht="25" customHeight="1" x14ac:dyDescent="0.15">
      <c r="A3" s="86"/>
      <c r="B3" s="452" t="s">
        <v>25</v>
      </c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4"/>
      <c r="Q3" s="86"/>
    </row>
    <row r="4" spans="1:17" ht="5.25" customHeight="1" thickBot="1" x14ac:dyDescent="0.2">
      <c r="A4" s="86"/>
      <c r="B4" s="89"/>
      <c r="C4" s="90"/>
      <c r="D4" s="90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  <c r="Q4" s="86"/>
    </row>
    <row r="5" spans="1:17" ht="11.25" customHeight="1" x14ac:dyDescent="0.15">
      <c r="A5" s="86"/>
      <c r="B5" s="142"/>
      <c r="C5" s="143"/>
      <c r="D5" s="143"/>
      <c r="E5" s="143"/>
      <c r="F5" s="144"/>
      <c r="G5" s="144"/>
      <c r="H5" s="144"/>
      <c r="I5" s="145"/>
      <c r="J5" s="145"/>
      <c r="K5" s="145"/>
      <c r="L5" s="145"/>
      <c r="M5" s="145"/>
      <c r="N5" s="145"/>
      <c r="O5" s="145"/>
      <c r="P5" s="146"/>
      <c r="Q5" s="86"/>
    </row>
    <row r="6" spans="1:17" ht="28" customHeight="1" x14ac:dyDescent="0.25">
      <c r="A6" s="86"/>
      <c r="B6" s="142"/>
      <c r="C6" s="147" t="s">
        <v>0</v>
      </c>
      <c r="D6" s="148"/>
      <c r="E6" s="148"/>
      <c r="F6" s="149"/>
      <c r="G6" s="149"/>
      <c r="H6" s="150"/>
      <c r="I6" s="151"/>
      <c r="J6" s="151"/>
      <c r="K6" s="151"/>
      <c r="L6" s="151"/>
      <c r="M6" s="151"/>
      <c r="N6" s="151"/>
      <c r="O6" s="151"/>
      <c r="P6" s="152"/>
      <c r="Q6" s="86"/>
    </row>
    <row r="7" spans="1:17" ht="8" customHeight="1" x14ac:dyDescent="0.2">
      <c r="A7" s="86"/>
      <c r="B7" s="142"/>
      <c r="C7" s="153"/>
      <c r="D7" s="153"/>
      <c r="E7" s="153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2"/>
      <c r="Q7" s="86"/>
    </row>
    <row r="8" spans="1:17" ht="28" customHeight="1" x14ac:dyDescent="0.15">
      <c r="A8" s="86"/>
      <c r="B8" s="142"/>
      <c r="C8" s="154" t="s">
        <v>37</v>
      </c>
      <c r="D8" s="155"/>
      <c r="E8" s="156"/>
      <c r="F8" s="446" t="s">
        <v>298</v>
      </c>
      <c r="G8" s="447"/>
      <c r="H8" s="448"/>
      <c r="I8" s="143"/>
      <c r="J8" s="130" t="s">
        <v>164</v>
      </c>
      <c r="K8" s="136"/>
      <c r="L8" s="137"/>
      <c r="M8" s="441" t="s">
        <v>11</v>
      </c>
      <c r="N8" s="442"/>
      <c r="O8" s="151"/>
      <c r="P8" s="157"/>
      <c r="Q8" s="86"/>
    </row>
    <row r="9" spans="1:17" ht="4" customHeight="1" x14ac:dyDescent="0.15">
      <c r="A9" s="86"/>
      <c r="B9" s="142"/>
      <c r="C9" s="158"/>
      <c r="D9" s="158"/>
      <c r="E9" s="158"/>
      <c r="F9" s="488"/>
      <c r="G9" s="488"/>
      <c r="H9" s="488"/>
      <c r="I9" s="143"/>
      <c r="J9" s="159"/>
      <c r="K9" s="143"/>
      <c r="L9" s="143"/>
      <c r="M9" s="160"/>
      <c r="N9" s="151"/>
      <c r="O9" s="151"/>
      <c r="P9" s="152"/>
      <c r="Q9" s="86"/>
    </row>
    <row r="10" spans="1:17" ht="28" customHeight="1" x14ac:dyDescent="0.15">
      <c r="A10" s="86"/>
      <c r="B10" s="142"/>
      <c r="C10" s="154" t="s">
        <v>38</v>
      </c>
      <c r="D10" s="155"/>
      <c r="E10" s="155"/>
      <c r="F10" s="459" t="s">
        <v>299</v>
      </c>
      <c r="G10" s="460"/>
      <c r="H10" s="461"/>
      <c r="I10" s="143"/>
      <c r="J10" s="125" t="s">
        <v>170</v>
      </c>
      <c r="K10" s="136"/>
      <c r="L10" s="137"/>
      <c r="M10" s="441" t="s">
        <v>11</v>
      </c>
      <c r="N10" s="442"/>
      <c r="O10" s="151"/>
      <c r="P10" s="157"/>
      <c r="Q10" s="86"/>
    </row>
    <row r="11" spans="1:17" ht="4" customHeight="1" x14ac:dyDescent="0.15">
      <c r="A11" s="86"/>
      <c r="B11" s="142"/>
      <c r="C11" s="162"/>
      <c r="D11" s="162"/>
      <c r="E11" s="162"/>
      <c r="F11" s="489"/>
      <c r="G11" s="489"/>
      <c r="H11" s="489"/>
      <c r="I11" s="143"/>
      <c r="J11" s="151"/>
      <c r="K11" s="151"/>
      <c r="L11" s="151"/>
      <c r="M11" s="151"/>
      <c r="N11" s="151"/>
      <c r="O11" s="143"/>
      <c r="P11" s="157"/>
      <c r="Q11" s="86"/>
    </row>
    <row r="12" spans="1:17" ht="28" customHeight="1" x14ac:dyDescent="0.15">
      <c r="A12" s="86"/>
      <c r="B12" s="142"/>
      <c r="C12" s="135" t="s">
        <v>166</v>
      </c>
      <c r="D12" s="155"/>
      <c r="E12" s="155"/>
      <c r="F12" s="446" t="s">
        <v>169</v>
      </c>
      <c r="G12" s="447"/>
      <c r="H12" s="448"/>
      <c r="I12" s="143"/>
      <c r="J12" s="125" t="s">
        <v>165</v>
      </c>
      <c r="K12" s="136"/>
      <c r="L12" s="379" t="str">
        <f>"1 "&amp;M8&amp;" is equivalent to "</f>
        <v xml:space="preserve">1 USD$ is equivalent to </v>
      </c>
      <c r="M12" s="140">
        <v>1</v>
      </c>
      <c r="N12" s="135" t="str">
        <f>M10</f>
        <v>USD$</v>
      </c>
      <c r="O12" s="143"/>
      <c r="P12" s="157"/>
      <c r="Q12" s="86"/>
    </row>
    <row r="13" spans="1:17" ht="10" customHeight="1" x14ac:dyDescent="0.15">
      <c r="A13" s="86"/>
      <c r="B13" s="142"/>
      <c r="C13" s="165"/>
      <c r="D13" s="165"/>
      <c r="E13" s="165"/>
      <c r="F13" s="166"/>
      <c r="G13" s="167"/>
      <c r="H13" s="168"/>
      <c r="I13" s="143"/>
      <c r="J13" s="151"/>
      <c r="K13" s="151"/>
      <c r="L13" s="151"/>
      <c r="M13" s="151"/>
      <c r="N13" s="151"/>
      <c r="O13" s="151"/>
      <c r="P13" s="152"/>
      <c r="Q13" s="86"/>
    </row>
    <row r="14" spans="1:17" ht="28" customHeight="1" x14ac:dyDescent="0.15">
      <c r="A14" s="86"/>
      <c r="B14" s="142"/>
      <c r="C14" s="130" t="str">
        <f>VLOOKUP(F12,AI32:AP34,2,FALSE)</f>
        <v>Free Cash Flow (Current)</v>
      </c>
      <c r="D14" s="155"/>
      <c r="E14" s="155"/>
      <c r="F14" s="126" t="str">
        <f>$M$8</f>
        <v>USD$</v>
      </c>
      <c r="G14" s="457">
        <v>101030.39999999999</v>
      </c>
      <c r="H14" s="458"/>
      <c r="I14" s="143"/>
      <c r="J14" s="138" t="str">
        <f>"PV of 20 yr "&amp;VLOOKUP(F12,AI32:AP34,3,FALSE)</f>
        <v>PV of 20 yr Free Cash Flow</v>
      </c>
      <c r="K14" s="139"/>
      <c r="L14" s="139"/>
      <c r="M14" s="371" t="str">
        <f>$M$8</f>
        <v>USD$</v>
      </c>
      <c r="N14" s="455">
        <f>SUM(F35:O35)+SUM(F40:O40)</f>
        <v>3815917.1602785662</v>
      </c>
      <c r="O14" s="456"/>
      <c r="P14" s="157"/>
      <c r="Q14" s="86"/>
    </row>
    <row r="15" spans="1:17" ht="4" customHeight="1" x14ac:dyDescent="0.15">
      <c r="A15" s="86"/>
      <c r="B15" s="142"/>
      <c r="C15" s="165"/>
      <c r="D15" s="165"/>
      <c r="E15" s="165"/>
      <c r="F15" s="170"/>
      <c r="G15" s="490"/>
      <c r="H15" s="490"/>
      <c r="I15" s="143"/>
      <c r="J15" s="171"/>
      <c r="K15" s="151"/>
      <c r="L15" s="151"/>
      <c r="M15" s="172"/>
      <c r="N15" s="173"/>
      <c r="O15" s="173"/>
      <c r="P15" s="152"/>
      <c r="Q15" s="86"/>
    </row>
    <row r="16" spans="1:17" ht="28" customHeight="1" x14ac:dyDescent="0.15">
      <c r="A16" s="86"/>
      <c r="B16" s="142"/>
      <c r="C16" s="130" t="s">
        <v>43</v>
      </c>
      <c r="D16" s="133"/>
      <c r="E16" s="133"/>
      <c r="F16" s="126" t="str">
        <f>$M$8</f>
        <v>USD$</v>
      </c>
      <c r="G16" s="457">
        <v>43208</v>
      </c>
      <c r="H16" s="458"/>
      <c r="I16" s="143"/>
      <c r="J16" s="125" t="s">
        <v>131</v>
      </c>
      <c r="K16" s="139"/>
      <c r="L16" s="139"/>
      <c r="M16" s="371" t="str">
        <f>$M$8</f>
        <v>USD$</v>
      </c>
      <c r="N16" s="462">
        <f>IF(F26&lt;&gt;0,N14/F26,0)</f>
        <v>511.10596842734611</v>
      </c>
      <c r="O16" s="463"/>
      <c r="P16" s="152"/>
      <c r="Q16" s="86"/>
    </row>
    <row r="17" spans="1:42" ht="4" customHeight="1" x14ac:dyDescent="0.15">
      <c r="A17" s="86"/>
      <c r="B17" s="142"/>
      <c r="C17" s="165"/>
      <c r="D17" s="165"/>
      <c r="E17" s="165"/>
      <c r="F17" s="170"/>
      <c r="G17" s="490"/>
      <c r="H17" s="490"/>
      <c r="I17" s="143"/>
      <c r="J17" s="174"/>
      <c r="K17" s="174"/>
      <c r="L17" s="174"/>
      <c r="M17" s="175"/>
      <c r="N17" s="174"/>
      <c r="O17" s="174"/>
      <c r="P17" s="152"/>
      <c r="Q17" s="86"/>
    </row>
    <row r="18" spans="1:42" ht="28" customHeight="1" x14ac:dyDescent="0.15">
      <c r="A18" s="86"/>
      <c r="B18" s="142"/>
      <c r="C18" s="130" t="s">
        <v>44</v>
      </c>
      <c r="D18" s="133"/>
      <c r="E18" s="133"/>
      <c r="F18" s="126" t="str">
        <f>$M$8</f>
        <v>USD$</v>
      </c>
      <c r="G18" s="457">
        <v>102012</v>
      </c>
      <c r="H18" s="458"/>
      <c r="I18" s="143"/>
      <c r="J18" s="125" t="s">
        <v>1</v>
      </c>
      <c r="K18" s="139"/>
      <c r="L18" s="139"/>
      <c r="M18" s="371" t="str">
        <f>$M$8</f>
        <v>USD$</v>
      </c>
      <c r="N18" s="462">
        <f>IF(F26&lt;&gt;0,G16/F26,0)</f>
        <v>5.7873024377176536</v>
      </c>
      <c r="O18" s="463"/>
      <c r="P18" s="152"/>
      <c r="Q18" s="86"/>
    </row>
    <row r="19" spans="1:42" ht="4" customHeight="1" x14ac:dyDescent="0.15">
      <c r="A19" s="86"/>
      <c r="B19" s="142"/>
      <c r="C19" s="165"/>
      <c r="D19" s="165"/>
      <c r="E19" s="165"/>
      <c r="F19" s="163"/>
      <c r="G19" s="163"/>
      <c r="H19" s="164"/>
      <c r="I19" s="143"/>
      <c r="J19" s="159"/>
      <c r="K19" s="176"/>
      <c r="L19" s="176"/>
      <c r="M19" s="172"/>
      <c r="N19" s="160"/>
      <c r="O19" s="160"/>
      <c r="P19" s="152"/>
      <c r="Q19" s="86"/>
    </row>
    <row r="20" spans="1:42" ht="28" customHeight="1" x14ac:dyDescent="0.15">
      <c r="A20" s="86"/>
      <c r="B20" s="142"/>
      <c r="C20" s="130" t="str">
        <f>VLOOKUP(F12,AI32:AP34,4,FALSE)</f>
        <v>Free Cash Flow Growth Rate (Yr 1 - 5)</v>
      </c>
      <c r="D20" s="133"/>
      <c r="E20" s="134"/>
      <c r="F20" s="443">
        <v>0.17480000000000001</v>
      </c>
      <c r="G20" s="444"/>
      <c r="H20" s="445"/>
      <c r="I20" s="143"/>
      <c r="J20" s="125" t="s">
        <v>2</v>
      </c>
      <c r="K20" s="139"/>
      <c r="L20" s="139"/>
      <c r="M20" s="371" t="str">
        <f>$M$8</f>
        <v>USD$</v>
      </c>
      <c r="N20" s="462">
        <f>IF(F26&lt;&gt;0,G18/F26,0)</f>
        <v>13.663541387623894</v>
      </c>
      <c r="O20" s="463"/>
      <c r="P20" s="152"/>
      <c r="Q20" s="86"/>
    </row>
    <row r="21" spans="1:42" ht="4" customHeight="1" x14ac:dyDescent="0.15">
      <c r="A21" s="86"/>
      <c r="B21" s="142"/>
      <c r="C21" s="151"/>
      <c r="D21" s="151"/>
      <c r="E21" s="151"/>
      <c r="F21" s="484"/>
      <c r="G21" s="484"/>
      <c r="H21" s="484"/>
      <c r="I21" s="143"/>
      <c r="J21" s="159"/>
      <c r="K21" s="176"/>
      <c r="L21" s="176"/>
      <c r="M21" s="172"/>
      <c r="N21" s="160"/>
      <c r="O21" s="160"/>
      <c r="P21" s="152"/>
      <c r="Q21" s="86"/>
    </row>
    <row r="22" spans="1:42" ht="28" customHeight="1" x14ac:dyDescent="0.15">
      <c r="A22" s="86"/>
      <c r="B22" s="142"/>
      <c r="C22" s="130" t="str">
        <f>VLOOKUP(F12,AI32:AP34,5,FALSE)</f>
        <v>Free Cash Flow growth rate (Yr 6 - 10)</v>
      </c>
      <c r="D22" s="133"/>
      <c r="E22" s="134"/>
      <c r="F22" s="443">
        <v>0.15</v>
      </c>
      <c r="G22" s="444"/>
      <c r="H22" s="445"/>
      <c r="I22" s="143"/>
      <c r="J22" s="143"/>
      <c r="K22" s="143"/>
      <c r="L22" s="143"/>
      <c r="M22" s="143"/>
      <c r="N22" s="143"/>
      <c r="O22" s="143"/>
      <c r="P22" s="152"/>
      <c r="Q22" s="86"/>
    </row>
    <row r="23" spans="1:42" ht="4" customHeight="1" x14ac:dyDescent="0.15">
      <c r="A23" s="86"/>
      <c r="B23" s="142"/>
      <c r="C23" s="177"/>
      <c r="D23" s="177"/>
      <c r="E23" s="177"/>
      <c r="F23" s="485"/>
      <c r="G23" s="485"/>
      <c r="H23" s="485"/>
      <c r="I23" s="143"/>
      <c r="J23" s="159"/>
      <c r="K23" s="176"/>
      <c r="L23" s="176"/>
      <c r="M23" s="178"/>
      <c r="N23" s="160"/>
      <c r="O23" s="160"/>
      <c r="P23" s="152"/>
      <c r="Q23" s="86"/>
    </row>
    <row r="24" spans="1:42" ht="28" customHeight="1" x14ac:dyDescent="0.15">
      <c r="A24" s="86"/>
      <c r="B24" s="142"/>
      <c r="C24" s="130" t="str">
        <f>VLOOKUP(F12,AI32:AP34,8,FALSE)</f>
        <v>Free Cash Flow Growth Rate (Yr 11 - 20)</v>
      </c>
      <c r="D24" s="133"/>
      <c r="E24" s="134"/>
      <c r="F24" s="443">
        <v>0.04</v>
      </c>
      <c r="G24" s="444"/>
      <c r="H24" s="445"/>
      <c r="I24" s="143"/>
      <c r="J24" s="471" t="s">
        <v>281</v>
      </c>
      <c r="K24" s="472"/>
      <c r="L24" s="483"/>
      <c r="M24" s="372" t="str">
        <f>$M$8</f>
        <v>USD$</v>
      </c>
      <c r="N24" s="464">
        <f>N16-N18+N20</f>
        <v>518.98220737725239</v>
      </c>
      <c r="O24" s="465"/>
      <c r="P24" s="152"/>
      <c r="Q24" s="86"/>
    </row>
    <row r="25" spans="1:42" ht="10" customHeight="1" thickBot="1" x14ac:dyDescent="0.2">
      <c r="A25" s="86"/>
      <c r="B25" s="142"/>
      <c r="C25" s="179"/>
      <c r="D25" s="179"/>
      <c r="E25" s="179"/>
      <c r="F25" s="487"/>
      <c r="G25" s="487"/>
      <c r="H25" s="487"/>
      <c r="I25" s="143"/>
      <c r="J25" s="151"/>
      <c r="K25" s="151"/>
      <c r="L25" s="151"/>
      <c r="M25" s="180"/>
      <c r="N25" s="151"/>
      <c r="O25" s="151"/>
      <c r="P25" s="152"/>
      <c r="Q25" s="86"/>
    </row>
    <row r="26" spans="1:42" ht="28" customHeight="1" thickBot="1" x14ac:dyDescent="0.2">
      <c r="A26" s="86"/>
      <c r="B26" s="142"/>
      <c r="C26" s="130" t="s">
        <v>41</v>
      </c>
      <c r="D26" s="131"/>
      <c r="E26" s="132"/>
      <c r="F26" s="480">
        <v>7466</v>
      </c>
      <c r="G26" s="481"/>
      <c r="H26" s="482"/>
      <c r="I26" s="143"/>
      <c r="J26" s="471" t="s">
        <v>282</v>
      </c>
      <c r="K26" s="472"/>
      <c r="L26" s="472"/>
      <c r="M26" s="127" t="str">
        <f>$M$10</f>
        <v>USD$</v>
      </c>
      <c r="N26" s="475">
        <f>N24*M12</f>
        <v>518.98220737725239</v>
      </c>
      <c r="O26" s="476"/>
      <c r="P26" s="152"/>
      <c r="Q26" s="86"/>
    </row>
    <row r="27" spans="1:42" ht="4" customHeight="1" thickBot="1" x14ac:dyDescent="0.2">
      <c r="A27" s="86"/>
      <c r="B27" s="142"/>
      <c r="C27" s="181"/>
      <c r="D27" s="181"/>
      <c r="E27" s="181"/>
      <c r="F27" s="181"/>
      <c r="G27" s="181"/>
      <c r="H27" s="181"/>
      <c r="I27" s="143"/>
      <c r="J27" s="182"/>
      <c r="K27" s="182"/>
      <c r="L27" s="182"/>
      <c r="M27" s="182"/>
      <c r="N27" s="182"/>
      <c r="O27" s="182"/>
      <c r="P27" s="152"/>
      <c r="Q27" s="86"/>
    </row>
    <row r="28" spans="1:42" ht="28" customHeight="1" thickBot="1" x14ac:dyDescent="0.2">
      <c r="A28" s="86"/>
      <c r="B28" s="183"/>
      <c r="C28" s="125" t="s">
        <v>39</v>
      </c>
      <c r="D28" s="129"/>
      <c r="E28" s="443">
        <v>6.6100000000000006E-2</v>
      </c>
      <c r="F28" s="445"/>
      <c r="G28" s="181"/>
      <c r="H28" s="143"/>
      <c r="I28" s="143"/>
      <c r="J28" s="125" t="s">
        <v>127</v>
      </c>
      <c r="K28" s="128"/>
      <c r="L28" s="128"/>
      <c r="M28" s="477">
        <f>N30/N26-1</f>
        <v>-0.21816202129440299</v>
      </c>
      <c r="N28" s="478"/>
      <c r="O28" s="479"/>
      <c r="P28" s="152"/>
      <c r="Q28" s="86"/>
    </row>
    <row r="29" spans="1:42" ht="10" customHeight="1" x14ac:dyDescent="0.15">
      <c r="A29" s="86"/>
      <c r="B29" s="142"/>
      <c r="C29" s="181"/>
      <c r="D29" s="181"/>
      <c r="E29" s="486"/>
      <c r="F29" s="486"/>
      <c r="G29" s="181"/>
      <c r="H29" s="181"/>
      <c r="I29" s="143"/>
      <c r="J29" s="182"/>
      <c r="K29" s="182"/>
      <c r="L29" s="182"/>
      <c r="M29" s="182"/>
      <c r="N29" s="182"/>
      <c r="O29" s="182"/>
      <c r="P29" s="152"/>
      <c r="Q29" s="86"/>
    </row>
    <row r="30" spans="1:42" ht="28" customHeight="1" x14ac:dyDescent="0.15">
      <c r="A30" s="86"/>
      <c r="B30" s="142"/>
      <c r="C30" s="125" t="s">
        <v>36</v>
      </c>
      <c r="D30" s="129"/>
      <c r="E30" s="441">
        <v>2025</v>
      </c>
      <c r="F30" s="442"/>
      <c r="G30" s="469" t="s">
        <v>42</v>
      </c>
      <c r="H30" s="470"/>
      <c r="I30" s="143"/>
      <c r="J30" s="161" t="s">
        <v>55</v>
      </c>
      <c r="K30" s="184"/>
      <c r="L30" s="185"/>
      <c r="M30" s="169" t="str">
        <f>$M$10</f>
        <v>USD$</v>
      </c>
      <c r="N30" s="473">
        <v>405.76</v>
      </c>
      <c r="O30" s="474"/>
      <c r="P30" s="157"/>
      <c r="Q30" s="86"/>
    </row>
    <row r="31" spans="1:42" ht="10" customHeight="1" x14ac:dyDescent="0.15">
      <c r="A31" s="86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52"/>
      <c r="Q31" s="86"/>
    </row>
    <row r="32" spans="1:42" ht="18" customHeight="1" x14ac:dyDescent="0.15">
      <c r="A32" s="86"/>
      <c r="B32" s="142"/>
      <c r="C32" s="112" t="s">
        <v>14</v>
      </c>
      <c r="D32" s="113"/>
      <c r="E32" s="114"/>
      <c r="F32" s="115">
        <f>$E$30+1</f>
        <v>2026</v>
      </c>
      <c r="G32" s="115">
        <f>$E$30+2</f>
        <v>2027</v>
      </c>
      <c r="H32" s="115">
        <f>$E$30+3</f>
        <v>2028</v>
      </c>
      <c r="I32" s="115">
        <f>$E$30+4</f>
        <v>2029</v>
      </c>
      <c r="J32" s="115">
        <f>$E$30+5</f>
        <v>2030</v>
      </c>
      <c r="K32" s="115">
        <f>$E$30+6</f>
        <v>2031</v>
      </c>
      <c r="L32" s="115">
        <f>$E$30+7</f>
        <v>2032</v>
      </c>
      <c r="M32" s="115">
        <f>$E$30+8</f>
        <v>2033</v>
      </c>
      <c r="N32" s="115">
        <f>$E$30+9</f>
        <v>2034</v>
      </c>
      <c r="O32" s="115">
        <f>$E$30+10</f>
        <v>2035</v>
      </c>
      <c r="P32" s="152"/>
      <c r="Q32" s="86"/>
      <c r="AI32" s="97" t="s">
        <v>168</v>
      </c>
      <c r="AJ32" s="97" t="s">
        <v>129</v>
      </c>
      <c r="AK32" s="97" t="s">
        <v>171</v>
      </c>
      <c r="AL32" s="97" t="s">
        <v>137</v>
      </c>
      <c r="AM32" s="97" t="s">
        <v>138</v>
      </c>
      <c r="AN32" s="97" t="s">
        <v>133</v>
      </c>
      <c r="AO32" s="97" t="s">
        <v>134</v>
      </c>
      <c r="AP32" s="97" t="s">
        <v>154</v>
      </c>
    </row>
    <row r="33" spans="1:42" ht="18" customHeight="1" x14ac:dyDescent="0.15">
      <c r="A33" s="86"/>
      <c r="B33" s="142"/>
      <c r="C33" s="466" t="str">
        <f>VLOOKUP(F12,AI32:AP34,6,FALSE)</f>
        <v>Free Cash Flow (Projected)</v>
      </c>
      <c r="D33" s="467"/>
      <c r="E33" s="468"/>
      <c r="F33" s="116">
        <f>(G14)*(1+F20)</f>
        <v>118690.51392</v>
      </c>
      <c r="G33" s="116">
        <f>($F33)*(1+$F$20)</f>
        <v>139437.615753216</v>
      </c>
      <c r="H33" s="116">
        <f>(G$33)*(1+$F$20)</f>
        <v>163811.31098687818</v>
      </c>
      <c r="I33" s="116">
        <f>(H$33)*(1+$F$20)</f>
        <v>192445.5281473845</v>
      </c>
      <c r="J33" s="116">
        <f>(I$33)*(1+$F$20)</f>
        <v>226085.00646754733</v>
      </c>
      <c r="K33" s="116">
        <f>(J$33)*(1+$F$22)</f>
        <v>259997.75743767939</v>
      </c>
      <c r="L33" s="116">
        <f>(K$33)*(1+$F$22)</f>
        <v>298997.42105333129</v>
      </c>
      <c r="M33" s="116">
        <f>(L$33)*(1+$F$22)</f>
        <v>343847.03421133093</v>
      </c>
      <c r="N33" s="116">
        <f>(M$33)*(1+$F$22)</f>
        <v>395424.08934303053</v>
      </c>
      <c r="O33" s="116">
        <f>(N$33)*(1+$F$22)</f>
        <v>454737.70274448505</v>
      </c>
      <c r="P33" s="152"/>
      <c r="Q33" s="86"/>
      <c r="AI33" s="97" t="s">
        <v>167</v>
      </c>
      <c r="AJ33" s="97" t="s">
        <v>130</v>
      </c>
      <c r="AK33" s="97" t="s">
        <v>136</v>
      </c>
      <c r="AL33" s="97" t="s">
        <v>139</v>
      </c>
      <c r="AM33" s="97" t="s">
        <v>140</v>
      </c>
      <c r="AN33" s="97" t="s">
        <v>132</v>
      </c>
      <c r="AO33" s="97" t="s">
        <v>135</v>
      </c>
      <c r="AP33" s="97" t="s">
        <v>155</v>
      </c>
    </row>
    <row r="34" spans="1:42" ht="18" customHeight="1" x14ac:dyDescent="0.15">
      <c r="A34" s="86"/>
      <c r="B34" s="142"/>
      <c r="C34" s="117" t="s">
        <v>16</v>
      </c>
      <c r="D34" s="118"/>
      <c r="E34" s="119"/>
      <c r="F34" s="120">
        <f>1/(1+$E$28)</f>
        <v>0.93799831160303904</v>
      </c>
      <c r="G34" s="120">
        <f t="shared" ref="G34:O34" si="0">F$34/(1+$E$28)</f>
        <v>0.879840832570152</v>
      </c>
      <c r="H34" s="120">
        <f t="shared" si="0"/>
        <v>0.82528921543021472</v>
      </c>
      <c r="I34" s="120">
        <f t="shared" si="0"/>
        <v>0.77411989065773823</v>
      </c>
      <c r="J34" s="120">
        <f t="shared" si="0"/>
        <v>0.72612315041528763</v>
      </c>
      <c r="K34" s="120">
        <f t="shared" si="0"/>
        <v>0.68110228910541937</v>
      </c>
      <c r="L34" s="120">
        <f t="shared" si="0"/>
        <v>0.63887279720984835</v>
      </c>
      <c r="M34" s="120">
        <f t="shared" si="0"/>
        <v>0.59926160511194848</v>
      </c>
      <c r="N34" s="120">
        <f t="shared" si="0"/>
        <v>0.56210637380353479</v>
      </c>
      <c r="O34" s="120">
        <f t="shared" si="0"/>
        <v>0.52725482956902237</v>
      </c>
      <c r="P34" s="152"/>
      <c r="Q34" s="86"/>
      <c r="AI34" s="97" t="s">
        <v>169</v>
      </c>
      <c r="AJ34" s="97" t="s">
        <v>141</v>
      </c>
      <c r="AK34" s="97" t="s">
        <v>142</v>
      </c>
      <c r="AL34" s="97" t="s">
        <v>143</v>
      </c>
      <c r="AM34" s="97" t="s">
        <v>144</v>
      </c>
      <c r="AN34" s="97" t="s">
        <v>145</v>
      </c>
      <c r="AO34" s="97" t="s">
        <v>146</v>
      </c>
      <c r="AP34" s="97" t="s">
        <v>156</v>
      </c>
    </row>
    <row r="35" spans="1:42" ht="18" customHeight="1" x14ac:dyDescent="0.15">
      <c r="A35" s="86"/>
      <c r="B35" s="142"/>
      <c r="C35" s="121" t="s">
        <v>17</v>
      </c>
      <c r="D35" s="122"/>
      <c r="E35" s="123"/>
      <c r="F35" s="124">
        <f>F33*F34</f>
        <v>111331.501660257</v>
      </c>
      <c r="G35" s="124">
        <f t="shared" ref="G35:O35" si="1">G33*G34</f>
        <v>122682.90793590651</v>
      </c>
      <c r="H35" s="124">
        <f t="shared" si="1"/>
        <v>135191.70832295562</v>
      </c>
      <c r="I35" s="124">
        <f t="shared" si="1"/>
        <v>148975.91120702398</v>
      </c>
      <c r="J35" s="124">
        <f t="shared" si="1"/>
        <v>164165.55715787614</v>
      </c>
      <c r="K35" s="124">
        <f t="shared" si="1"/>
        <v>177085.067753079</v>
      </c>
      <c r="L35" s="124">
        <f t="shared" si="1"/>
        <v>191021.31874687257</v>
      </c>
      <c r="M35" s="124">
        <f t="shared" si="1"/>
        <v>206054.32563446523</v>
      </c>
      <c r="N35" s="124">
        <f t="shared" si="1"/>
        <v>222270.40097517584</v>
      </c>
      <c r="O35" s="124">
        <f t="shared" si="1"/>
        <v>239762.64995915222</v>
      </c>
      <c r="P35" s="152"/>
      <c r="Q35" s="86"/>
    </row>
    <row r="36" spans="1:42" ht="17.25" customHeight="1" x14ac:dyDescent="0.15">
      <c r="A36" s="86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52"/>
      <c r="Q36" s="86"/>
    </row>
    <row r="37" spans="1:42" ht="18" customHeight="1" x14ac:dyDescent="0.15">
      <c r="A37" s="86"/>
      <c r="B37" s="142"/>
      <c r="C37" s="112" t="s">
        <v>14</v>
      </c>
      <c r="D37" s="113"/>
      <c r="E37" s="114"/>
      <c r="F37" s="115">
        <f>$E$30+11</f>
        <v>2036</v>
      </c>
      <c r="G37" s="115">
        <f>$E$30+12</f>
        <v>2037</v>
      </c>
      <c r="H37" s="115">
        <f>$E$30+13</f>
        <v>2038</v>
      </c>
      <c r="I37" s="115">
        <f>$E$30+14</f>
        <v>2039</v>
      </c>
      <c r="J37" s="115">
        <f>$E$30+15</f>
        <v>2040</v>
      </c>
      <c r="K37" s="115">
        <f>$E$30+16</f>
        <v>2041</v>
      </c>
      <c r="L37" s="115">
        <f>$E$30+17</f>
        <v>2042</v>
      </c>
      <c r="M37" s="115">
        <f>$E$30+18</f>
        <v>2043</v>
      </c>
      <c r="N37" s="115">
        <f>$E$30+19</f>
        <v>2044</v>
      </c>
      <c r="O37" s="115">
        <f>$E$30+20</f>
        <v>2045</v>
      </c>
      <c r="P37" s="152"/>
      <c r="Q37" s="86"/>
    </row>
    <row r="38" spans="1:42" ht="18" customHeight="1" x14ac:dyDescent="0.15">
      <c r="A38" s="86"/>
      <c r="B38" s="142"/>
      <c r="C38" s="466" t="str">
        <f>VLOOKUP(F12,AI32:AP34,6,FALSE)</f>
        <v>Free Cash Flow (Projected)</v>
      </c>
      <c r="D38" s="467"/>
      <c r="E38" s="468"/>
      <c r="F38" s="116">
        <f>(O$33)*(1+$F$24)</f>
        <v>472927.2108542645</v>
      </c>
      <c r="G38" s="116">
        <f t="shared" ref="G38:O38" si="2">(F$38)*(1+$F$24)</f>
        <v>491844.29928843508</v>
      </c>
      <c r="H38" s="116">
        <f t="shared" si="2"/>
        <v>511518.07125997252</v>
      </c>
      <c r="I38" s="116">
        <f t="shared" si="2"/>
        <v>531978.7941103715</v>
      </c>
      <c r="J38" s="116">
        <f t="shared" si="2"/>
        <v>553257.94587478635</v>
      </c>
      <c r="K38" s="116">
        <f t="shared" si="2"/>
        <v>575388.26370977785</v>
      </c>
      <c r="L38" s="116">
        <f t="shared" si="2"/>
        <v>598403.79425816901</v>
      </c>
      <c r="M38" s="116">
        <f t="shared" si="2"/>
        <v>622339.94602849579</v>
      </c>
      <c r="N38" s="116">
        <f t="shared" si="2"/>
        <v>647233.54386963567</v>
      </c>
      <c r="O38" s="116">
        <f t="shared" si="2"/>
        <v>673122.88562442118</v>
      </c>
      <c r="P38" s="152"/>
      <c r="Q38" s="86"/>
    </row>
    <row r="39" spans="1:42" ht="18" customHeight="1" x14ac:dyDescent="0.15">
      <c r="A39" s="86"/>
      <c r="B39" s="142"/>
      <c r="C39" s="117" t="s">
        <v>16</v>
      </c>
      <c r="D39" s="118"/>
      <c r="E39" s="119"/>
      <c r="F39" s="120">
        <f>O$34/(1+$E$28)</f>
        <v>0.49456413992029108</v>
      </c>
      <c r="G39" s="120">
        <f t="shared" ref="G39:O39" si="3">F$39/(1+$E$28)</f>
        <v>0.46390032822464222</v>
      </c>
      <c r="H39" s="120">
        <f t="shared" si="3"/>
        <v>0.43513772462681005</v>
      </c>
      <c r="I39" s="120">
        <f t="shared" si="3"/>
        <v>0.40815845101473597</v>
      </c>
      <c r="J39" s="120">
        <f t="shared" si="3"/>
        <v>0.38285193791833405</v>
      </c>
      <c r="K39" s="120">
        <f t="shared" si="3"/>
        <v>0.35911447136134889</v>
      </c>
      <c r="L39" s="120">
        <f t="shared" si="3"/>
        <v>0.33684876780916317</v>
      </c>
      <c r="M39" s="120">
        <f t="shared" si="3"/>
        <v>0.3159635754705592</v>
      </c>
      <c r="N39" s="120">
        <f t="shared" si="3"/>
        <v>0.29637330031944392</v>
      </c>
      <c r="O39" s="120">
        <f t="shared" si="3"/>
        <v>0.27799765530385884</v>
      </c>
      <c r="P39" s="152"/>
      <c r="Q39" s="86"/>
    </row>
    <row r="40" spans="1:42" ht="18" customHeight="1" x14ac:dyDescent="0.15">
      <c r="A40" s="86"/>
      <c r="B40" s="142"/>
      <c r="C40" s="121" t="s">
        <v>17</v>
      </c>
      <c r="D40" s="122"/>
      <c r="E40" s="123"/>
      <c r="F40" s="124">
        <f t="shared" ref="F40:O40" si="4">F38*F39</f>
        <v>233892.83928104147</v>
      </c>
      <c r="G40" s="124">
        <f t="shared" si="4"/>
        <v>228166.73187532419</v>
      </c>
      <c r="H40" s="124">
        <f t="shared" si="4"/>
        <v>222580.80963355894</v>
      </c>
      <c r="I40" s="124">
        <f t="shared" si="4"/>
        <v>217131.64057677638</v>
      </c>
      <c r="J40" s="124">
        <f t="shared" si="4"/>
        <v>211815.87674687873</v>
      </c>
      <c r="K40" s="124">
        <f t="shared" si="4"/>
        <v>206630.25214966128</v>
      </c>
      <c r="L40" s="124">
        <f t="shared" si="4"/>
        <v>201571.58074819224</v>
      </c>
      <c r="M40" s="124">
        <f t="shared" si="4"/>
        <v>196636.75450531836</v>
      </c>
      <c r="N40" s="124">
        <f t="shared" si="4"/>
        <v>191822.74147409352</v>
      </c>
      <c r="O40" s="124">
        <f t="shared" si="4"/>
        <v>187126.58393495664</v>
      </c>
      <c r="P40" s="152"/>
      <c r="Q40" s="86"/>
    </row>
    <row r="41" spans="1:42" x14ac:dyDescent="0.15">
      <c r="A41" s="86"/>
      <c r="B41" s="142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52"/>
      <c r="Q41" s="86"/>
    </row>
    <row r="42" spans="1:42" x14ac:dyDescent="0.15">
      <c r="A42" s="86"/>
      <c r="B42" s="142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52"/>
      <c r="Q42" s="86"/>
    </row>
    <row r="43" spans="1:42" x14ac:dyDescent="0.15">
      <c r="A43" s="86"/>
      <c r="B43" s="142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52"/>
      <c r="Q43" s="86"/>
    </row>
    <row r="44" spans="1:42" x14ac:dyDescent="0.15">
      <c r="A44" s="86"/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52"/>
      <c r="Q44" s="86"/>
    </row>
    <row r="45" spans="1:42" x14ac:dyDescent="0.15">
      <c r="A45" s="86"/>
      <c r="B45" s="142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52"/>
      <c r="Q45" s="86"/>
    </row>
    <row r="46" spans="1:42" x14ac:dyDescent="0.15">
      <c r="A46" s="86"/>
      <c r="B46" s="142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52"/>
      <c r="Q46" s="86"/>
    </row>
    <row r="47" spans="1:42" x14ac:dyDescent="0.15">
      <c r="A47" s="86"/>
      <c r="B47" s="142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52"/>
      <c r="Q47" s="86"/>
    </row>
    <row r="48" spans="1:42" x14ac:dyDescent="0.15">
      <c r="A48" s="86"/>
      <c r="B48" s="142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52"/>
      <c r="Q48" s="86"/>
    </row>
    <row r="49" spans="1:43" x14ac:dyDescent="0.15">
      <c r="A49" s="86"/>
      <c r="B49" s="142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52"/>
      <c r="Q49" s="86"/>
    </row>
    <row r="50" spans="1:43" x14ac:dyDescent="0.15">
      <c r="A50" s="86"/>
      <c r="B50" s="142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52"/>
      <c r="Q50" s="86"/>
    </row>
    <row r="51" spans="1:43" x14ac:dyDescent="0.15">
      <c r="A51" s="86"/>
      <c r="B51" s="142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52"/>
      <c r="Q51" s="86"/>
    </row>
    <row r="52" spans="1:43" x14ac:dyDescent="0.15">
      <c r="A52" s="86"/>
      <c r="B52" s="142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52"/>
      <c r="Q52" s="86"/>
    </row>
    <row r="53" spans="1:43" x14ac:dyDescent="0.15">
      <c r="A53" s="86"/>
      <c r="B53" s="142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52"/>
      <c r="Q53" s="86"/>
    </row>
    <row r="54" spans="1:43" x14ac:dyDescent="0.15">
      <c r="A54" s="86"/>
      <c r="B54" s="142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52"/>
      <c r="Q54" s="86"/>
    </row>
    <row r="55" spans="1:43" x14ac:dyDescent="0.15">
      <c r="A55" s="86"/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52"/>
      <c r="Q55" s="86"/>
    </row>
    <row r="56" spans="1:43" x14ac:dyDescent="0.15">
      <c r="A56" s="86"/>
      <c r="B56" s="142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52"/>
      <c r="Q56" s="86"/>
    </row>
    <row r="57" spans="1:43" x14ac:dyDescent="0.15">
      <c r="A57" s="86"/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52"/>
      <c r="Q57" s="86"/>
    </row>
    <row r="58" spans="1:43" ht="14" thickBot="1" x14ac:dyDescent="0.2">
      <c r="A58" s="86"/>
      <c r="B58" s="186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8"/>
      <c r="Q58" s="86"/>
    </row>
    <row r="59" spans="1:43" x14ac:dyDescent="0.15">
      <c r="A59" s="86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86"/>
    </row>
    <row r="60" spans="1:43" ht="18" x14ac:dyDescent="0.2">
      <c r="A60" s="86"/>
      <c r="B60" s="189"/>
      <c r="C60" s="190" t="s">
        <v>121</v>
      </c>
      <c r="D60" s="191"/>
      <c r="E60" s="191"/>
      <c r="F60" s="192"/>
      <c r="G60" s="192"/>
      <c r="H60" s="192"/>
      <c r="I60" s="193"/>
      <c r="J60" s="190" t="s">
        <v>122</v>
      </c>
      <c r="K60" s="192"/>
      <c r="L60" s="192"/>
      <c r="M60" s="192"/>
      <c r="N60" s="194"/>
      <c r="O60" s="141"/>
      <c r="P60" s="141"/>
      <c r="Q60" s="86"/>
      <c r="AH60" s="98"/>
      <c r="AI60" s="98"/>
      <c r="AJ60" s="98"/>
      <c r="AK60" s="98"/>
      <c r="AL60" s="98"/>
      <c r="AM60" s="98"/>
      <c r="AN60" s="98"/>
      <c r="AO60" s="98"/>
      <c r="AP60" s="98"/>
      <c r="AQ60" s="98"/>
    </row>
    <row r="61" spans="1:43" ht="17" thickBot="1" x14ac:dyDescent="0.25">
      <c r="A61" s="86"/>
      <c r="B61" s="189"/>
      <c r="C61" s="195"/>
      <c r="D61" s="196"/>
      <c r="E61" s="197"/>
      <c r="F61" s="192"/>
      <c r="G61" s="192"/>
      <c r="H61" s="192"/>
      <c r="I61" s="193"/>
      <c r="J61" s="197"/>
      <c r="K61" s="197"/>
      <c r="L61" s="192"/>
      <c r="M61" s="192"/>
      <c r="N61" s="194"/>
      <c r="O61" s="141"/>
      <c r="P61" s="141"/>
      <c r="Q61" s="86"/>
    </row>
    <row r="62" spans="1:43" ht="25.5" customHeight="1" thickBot="1" x14ac:dyDescent="0.25">
      <c r="A62" s="86"/>
      <c r="B62" s="189"/>
      <c r="C62" s="210" t="s">
        <v>147</v>
      </c>
      <c r="D62" s="211"/>
      <c r="E62" s="211" t="s">
        <v>148</v>
      </c>
      <c r="F62" s="212"/>
      <c r="G62" s="198"/>
      <c r="H62" s="198"/>
      <c r="I62" s="199"/>
      <c r="J62" s="213" t="s">
        <v>147</v>
      </c>
      <c r="K62" s="214"/>
      <c r="L62" s="214" t="s">
        <v>148</v>
      </c>
      <c r="M62" s="215"/>
      <c r="N62" s="194"/>
      <c r="O62" s="200"/>
      <c r="P62" s="141"/>
      <c r="Q62" s="86"/>
      <c r="AH62" s="99"/>
      <c r="AI62" s="99"/>
      <c r="AJ62" s="99"/>
      <c r="AK62" s="99"/>
      <c r="AL62" s="99"/>
      <c r="AM62" s="99"/>
      <c r="AN62" s="99"/>
      <c r="AO62" s="99"/>
      <c r="AP62" s="99"/>
      <c r="AQ62" s="99"/>
    </row>
    <row r="63" spans="1:43" s="100" customFormat="1" ht="15" customHeight="1" x14ac:dyDescent="0.15">
      <c r="A63" s="94"/>
      <c r="B63" s="202"/>
      <c r="C63" s="216" t="s">
        <v>149</v>
      </c>
      <c r="D63" s="217"/>
      <c r="E63" s="430">
        <f>E74+0.8*E75</f>
        <v>5.7903999999999997E-2</v>
      </c>
      <c r="F63" s="218"/>
      <c r="G63" s="198"/>
      <c r="H63" s="198"/>
      <c r="I63" s="199"/>
      <c r="J63" s="219" t="s">
        <v>149</v>
      </c>
      <c r="K63" s="220"/>
      <c r="L63" s="440">
        <f>L74+0.8*L75</f>
        <v>8.5575999999999999E-2</v>
      </c>
      <c r="M63" s="221"/>
      <c r="N63" s="203"/>
      <c r="O63" s="204"/>
      <c r="P63" s="201"/>
      <c r="Q63" s="94"/>
    </row>
    <row r="64" spans="1:43" s="100" customFormat="1" ht="15" customHeight="1" x14ac:dyDescent="0.15">
      <c r="A64" s="94"/>
      <c r="B64" s="202"/>
      <c r="C64" s="222">
        <v>0.9</v>
      </c>
      <c r="D64" s="217"/>
      <c r="E64" s="430">
        <f>E74+C64*E75</f>
        <v>6.0631999999999991E-2</v>
      </c>
      <c r="F64" s="218"/>
      <c r="G64" s="198"/>
      <c r="H64" s="198"/>
      <c r="I64" s="199"/>
      <c r="J64" s="222">
        <v>0.9</v>
      </c>
      <c r="K64" s="217"/>
      <c r="L64" s="430">
        <f>L74+J64*L75</f>
        <v>9.2437999999999992E-2</v>
      </c>
      <c r="M64" s="218"/>
      <c r="N64" s="203"/>
      <c r="O64" s="204"/>
      <c r="P64" s="201"/>
      <c r="Q64" s="94"/>
    </row>
    <row r="65" spans="1:43" s="100" customFormat="1" ht="15" customHeight="1" x14ac:dyDescent="0.15">
      <c r="A65" s="94"/>
      <c r="B65" s="202"/>
      <c r="C65" s="222">
        <v>1</v>
      </c>
      <c r="D65" s="223"/>
      <c r="E65" s="430">
        <f>E74+C65*E75</f>
        <v>6.336E-2</v>
      </c>
      <c r="F65" s="218"/>
      <c r="G65" s="198"/>
      <c r="H65" s="198"/>
      <c r="I65" s="199"/>
      <c r="J65" s="222">
        <v>1</v>
      </c>
      <c r="K65" s="223"/>
      <c r="L65" s="430">
        <f>L74+J65*L75</f>
        <v>9.9299999999999999E-2</v>
      </c>
      <c r="M65" s="218"/>
      <c r="N65" s="203"/>
      <c r="O65" s="204"/>
      <c r="P65" s="201"/>
      <c r="Q65" s="94"/>
    </row>
    <row r="66" spans="1:43" s="100" customFormat="1" ht="15" customHeight="1" x14ac:dyDescent="0.15">
      <c r="A66" s="94"/>
      <c r="B66" s="202"/>
      <c r="C66" s="222">
        <v>1.1000000000000001</v>
      </c>
      <c r="D66" s="223"/>
      <c r="E66" s="430">
        <f>E74+C66*E75</f>
        <v>6.6087999999999994E-2</v>
      </c>
      <c r="F66" s="218"/>
      <c r="G66" s="198"/>
      <c r="H66" s="198"/>
      <c r="I66" s="199"/>
      <c r="J66" s="222">
        <v>1.1000000000000001</v>
      </c>
      <c r="K66" s="223"/>
      <c r="L66" s="430">
        <f>L74+J66*L75</f>
        <v>0.10616200000000001</v>
      </c>
      <c r="M66" s="218"/>
      <c r="N66" s="203"/>
      <c r="O66" s="204"/>
      <c r="P66" s="201"/>
      <c r="Q66" s="94"/>
    </row>
    <row r="67" spans="1:43" s="100" customFormat="1" ht="15" customHeight="1" x14ac:dyDescent="0.15">
      <c r="A67" s="94"/>
      <c r="B67" s="202"/>
      <c r="C67" s="222">
        <v>1.2</v>
      </c>
      <c r="D67" s="223"/>
      <c r="E67" s="430">
        <f>E74+C67*E75</f>
        <v>6.8815999999999988E-2</v>
      </c>
      <c r="F67" s="218"/>
      <c r="G67" s="198"/>
      <c r="H67" s="198"/>
      <c r="I67" s="199"/>
      <c r="J67" s="222">
        <v>1.2</v>
      </c>
      <c r="K67" s="223"/>
      <c r="L67" s="430">
        <f>L74+J67*L75</f>
        <v>0.113024</v>
      </c>
      <c r="M67" s="218"/>
      <c r="N67" s="203"/>
      <c r="O67" s="204"/>
      <c r="P67" s="201"/>
      <c r="Q67" s="94"/>
    </row>
    <row r="68" spans="1:43" s="100" customFormat="1" ht="15" customHeight="1" x14ac:dyDescent="0.15">
      <c r="A68" s="94"/>
      <c r="B68" s="202"/>
      <c r="C68" s="222">
        <v>1.3</v>
      </c>
      <c r="D68" s="223"/>
      <c r="E68" s="430">
        <f>E74+C68*E75</f>
        <v>7.1543999999999996E-2</v>
      </c>
      <c r="F68" s="218"/>
      <c r="G68" s="198"/>
      <c r="H68" s="198"/>
      <c r="I68" s="199"/>
      <c r="J68" s="222">
        <v>1.3</v>
      </c>
      <c r="K68" s="223"/>
      <c r="L68" s="430">
        <f>L74+J68*L75</f>
        <v>0.11988600000000001</v>
      </c>
      <c r="M68" s="218"/>
      <c r="N68" s="203"/>
      <c r="O68" s="204"/>
      <c r="P68" s="201"/>
      <c r="Q68" s="94"/>
    </row>
    <row r="69" spans="1:43" s="100" customFormat="1" ht="15" customHeight="1" x14ac:dyDescent="0.15">
      <c r="A69" s="94"/>
      <c r="B69" s="202"/>
      <c r="C69" s="222">
        <v>1.4</v>
      </c>
      <c r="D69" s="223"/>
      <c r="E69" s="430">
        <f>E74+C69*E75</f>
        <v>7.4272000000000005E-2</v>
      </c>
      <c r="F69" s="218"/>
      <c r="G69" s="198"/>
      <c r="H69" s="198"/>
      <c r="I69" s="199"/>
      <c r="J69" s="222">
        <v>1.4</v>
      </c>
      <c r="K69" s="223"/>
      <c r="L69" s="430">
        <f>L74+J69*L75</f>
        <v>0.126748</v>
      </c>
      <c r="M69" s="218"/>
      <c r="N69" s="203"/>
      <c r="O69" s="204"/>
      <c r="P69" s="201"/>
      <c r="Q69" s="94"/>
    </row>
    <row r="70" spans="1:43" s="100" customFormat="1" ht="15" customHeight="1" x14ac:dyDescent="0.15">
      <c r="A70" s="94"/>
      <c r="B70" s="202"/>
      <c r="C70" s="222">
        <v>1.5</v>
      </c>
      <c r="D70" s="223"/>
      <c r="E70" s="430">
        <f>E74+C70*E75</f>
        <v>7.6999999999999999E-2</v>
      </c>
      <c r="F70" s="218"/>
      <c r="G70" s="198"/>
      <c r="H70" s="198"/>
      <c r="I70" s="199"/>
      <c r="J70" s="222">
        <v>1.5</v>
      </c>
      <c r="K70" s="223"/>
      <c r="L70" s="430">
        <f>L74+J70*L75</f>
        <v>0.13361000000000001</v>
      </c>
      <c r="M70" s="218"/>
      <c r="N70" s="203"/>
      <c r="O70" s="204"/>
      <c r="P70" s="201"/>
      <c r="Q70" s="94"/>
    </row>
    <row r="71" spans="1:43" s="100" customFormat="1" ht="15" customHeight="1" thickBot="1" x14ac:dyDescent="0.2">
      <c r="A71" s="94"/>
      <c r="B71" s="202"/>
      <c r="C71" s="224" t="s">
        <v>150</v>
      </c>
      <c r="D71" s="225"/>
      <c r="E71" s="431">
        <f>E74+1.6*E75</f>
        <v>7.9727999999999993E-2</v>
      </c>
      <c r="F71" s="226"/>
      <c r="G71" s="198"/>
      <c r="H71" s="198"/>
      <c r="I71" s="199"/>
      <c r="J71" s="224" t="s">
        <v>150</v>
      </c>
      <c r="K71" s="225"/>
      <c r="L71" s="431">
        <f>L74+1.6*L75</f>
        <v>0.14047199999999999</v>
      </c>
      <c r="M71" s="226"/>
      <c r="N71" s="203"/>
      <c r="O71" s="204"/>
      <c r="P71" s="201"/>
      <c r="Q71" s="94"/>
    </row>
    <row r="72" spans="1:43" ht="16" x14ac:dyDescent="0.2">
      <c r="A72" s="86"/>
      <c r="B72" s="189"/>
      <c r="C72" s="191"/>
      <c r="D72" s="191"/>
      <c r="E72" s="191"/>
      <c r="F72" s="191"/>
      <c r="G72" s="192"/>
      <c r="H72" s="192"/>
      <c r="I72" s="193"/>
      <c r="J72" s="192"/>
      <c r="K72" s="192"/>
      <c r="L72" s="192"/>
      <c r="M72" s="192"/>
      <c r="N72" s="194"/>
      <c r="O72" s="200"/>
      <c r="P72" s="141"/>
      <c r="Q72" s="86"/>
    </row>
    <row r="73" spans="1:43" s="101" customFormat="1" ht="20" customHeight="1" x14ac:dyDescent="0.15">
      <c r="A73" s="96"/>
      <c r="B73" s="205"/>
      <c r="C73" s="227" t="s">
        <v>123</v>
      </c>
      <c r="D73" s="217"/>
      <c r="E73" s="217"/>
      <c r="F73" s="217"/>
      <c r="G73" s="206"/>
      <c r="H73" s="206"/>
      <c r="I73" s="206"/>
      <c r="J73" s="227" t="s">
        <v>123</v>
      </c>
      <c r="K73" s="228"/>
      <c r="L73" s="228"/>
      <c r="M73" s="228"/>
      <c r="N73" s="205"/>
      <c r="O73" s="205"/>
      <c r="P73" s="205"/>
      <c r="Q73" s="96"/>
    </row>
    <row r="74" spans="1:43" s="101" customFormat="1" ht="20" customHeight="1" x14ac:dyDescent="0.15">
      <c r="A74" s="96"/>
      <c r="B74" s="205"/>
      <c r="C74" s="228"/>
      <c r="D74" s="229" t="s">
        <v>128</v>
      </c>
      <c r="E74" s="383">
        <f>'Discount Rate Data'!C17</f>
        <v>3.6079999999999994E-2</v>
      </c>
      <c r="F74" s="206"/>
      <c r="G74" s="206"/>
      <c r="H74" s="206"/>
      <c r="I74" s="206"/>
      <c r="J74" s="228"/>
      <c r="K74" s="229" t="s">
        <v>128</v>
      </c>
      <c r="L74" s="383">
        <f>'Discount Rate Data'!C31</f>
        <v>3.0679999999999999E-2</v>
      </c>
      <c r="M74" s="206"/>
      <c r="N74" s="205"/>
      <c r="O74" s="205"/>
      <c r="P74" s="205"/>
      <c r="Q74" s="96"/>
    </row>
    <row r="75" spans="1:43" s="101" customFormat="1" ht="20" customHeight="1" x14ac:dyDescent="0.15">
      <c r="A75" s="96"/>
      <c r="B75" s="205"/>
      <c r="C75" s="228"/>
      <c r="D75" s="229" t="s">
        <v>124</v>
      </c>
      <c r="E75" s="383">
        <f>'Discount Rate Data'!F17</f>
        <v>2.7280000000000002E-2</v>
      </c>
      <c r="F75" s="206"/>
      <c r="G75" s="206"/>
      <c r="H75" s="206"/>
      <c r="I75" s="206"/>
      <c r="J75" s="228"/>
      <c r="K75" s="229" t="s">
        <v>124</v>
      </c>
      <c r="L75" s="383">
        <f>'Discount Rate Data'!F31</f>
        <v>6.862E-2</v>
      </c>
      <c r="M75" s="206"/>
      <c r="N75" s="205"/>
      <c r="O75" s="205"/>
      <c r="P75" s="205"/>
      <c r="Q75" s="96"/>
    </row>
    <row r="76" spans="1:43" s="101" customFormat="1" ht="20" customHeight="1" x14ac:dyDescent="0.15">
      <c r="A76" s="96"/>
      <c r="B76" s="205"/>
      <c r="C76" s="228"/>
      <c r="D76" s="229" t="s">
        <v>241</v>
      </c>
      <c r="E76" s="373">
        <f>'Discount Rate Data'!C4</f>
        <v>46092</v>
      </c>
      <c r="F76" s="206"/>
      <c r="G76" s="206"/>
      <c r="H76" s="206"/>
      <c r="I76" s="206"/>
      <c r="J76" s="228"/>
      <c r="K76" s="229" t="s">
        <v>241</v>
      </c>
      <c r="L76" s="373">
        <f>'Discount Rate Data'!C4</f>
        <v>46092</v>
      </c>
      <c r="M76" s="206"/>
      <c r="N76" s="205"/>
      <c r="O76" s="205"/>
      <c r="P76" s="205"/>
      <c r="Q76" s="96"/>
    </row>
    <row r="77" spans="1:43" ht="16" x14ac:dyDescent="0.2">
      <c r="A77" s="86"/>
      <c r="B77" s="189"/>
      <c r="C77" s="191"/>
      <c r="D77" s="191"/>
      <c r="E77" s="191"/>
      <c r="F77" s="192"/>
      <c r="G77" s="192"/>
      <c r="H77" s="192"/>
      <c r="I77" s="192"/>
      <c r="J77" s="192"/>
      <c r="K77" s="192"/>
      <c r="L77" s="192"/>
      <c r="M77" s="192"/>
      <c r="N77" s="194"/>
      <c r="O77" s="200"/>
      <c r="P77" s="141"/>
      <c r="Q77" s="86"/>
      <c r="AH77" s="99"/>
      <c r="AI77" s="99"/>
      <c r="AJ77" s="99"/>
      <c r="AK77" s="99"/>
      <c r="AL77" s="99"/>
      <c r="AM77" s="99"/>
      <c r="AN77" s="99"/>
      <c r="AO77" s="99"/>
      <c r="AP77" s="99"/>
      <c r="AQ77" s="99"/>
    </row>
    <row r="78" spans="1:43" s="99" customFormat="1" ht="16" x14ac:dyDescent="0.2">
      <c r="A78" s="93"/>
      <c r="B78" s="194"/>
      <c r="C78" s="191" t="s">
        <v>125</v>
      </c>
      <c r="D78" s="191"/>
      <c r="E78" s="191"/>
      <c r="F78" s="192"/>
      <c r="G78" s="192"/>
      <c r="H78" s="192"/>
      <c r="I78" s="192"/>
      <c r="J78" s="191" t="s">
        <v>125</v>
      </c>
      <c r="K78" s="192"/>
      <c r="L78" s="192"/>
      <c r="M78" s="192"/>
      <c r="N78" s="194"/>
      <c r="O78" s="194"/>
      <c r="P78" s="194"/>
      <c r="Q78" s="93"/>
    </row>
    <row r="79" spans="1:43" s="102" customFormat="1" x14ac:dyDescent="0.15">
      <c r="A79" s="95"/>
      <c r="B79" s="189"/>
      <c r="C79" s="381" t="s">
        <v>260</v>
      </c>
      <c r="D79" s="207"/>
      <c r="E79" s="208"/>
      <c r="F79" s="193"/>
      <c r="G79" s="193"/>
      <c r="H79" s="193"/>
      <c r="I79" s="193"/>
      <c r="J79" s="207" t="s">
        <v>126</v>
      </c>
      <c r="K79" s="193"/>
      <c r="L79" s="193"/>
      <c r="M79" s="193"/>
      <c r="N79" s="189"/>
      <c r="O79" s="189"/>
      <c r="P79" s="189"/>
      <c r="Q79" s="95"/>
    </row>
    <row r="80" spans="1:43" s="100" customFormat="1" ht="12" customHeight="1" x14ac:dyDescent="0.15">
      <c r="A80" s="9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41"/>
      <c r="P80" s="141"/>
      <c r="Q80" s="94"/>
    </row>
    <row r="81" spans="1:17" s="100" customFormat="1" ht="12" customHeight="1" x14ac:dyDescent="0.2">
      <c r="A81" s="94"/>
      <c r="B81" s="189"/>
      <c r="C81" s="209"/>
      <c r="D81" s="209"/>
      <c r="E81" s="209"/>
      <c r="F81" s="209"/>
      <c r="G81" s="194"/>
      <c r="H81" s="194"/>
      <c r="I81" s="194"/>
      <c r="J81" s="194"/>
      <c r="K81" s="194"/>
      <c r="L81" s="194"/>
      <c r="M81" s="194"/>
      <c r="N81" s="194"/>
      <c r="O81" s="200"/>
      <c r="P81" s="141"/>
      <c r="Q81" s="94"/>
    </row>
    <row r="82" spans="1:17" x14ac:dyDescent="0.15">
      <c r="A82" s="354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</row>
    <row r="83" spans="1:17" x14ac:dyDescent="0.15">
      <c r="A83" s="354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</row>
    <row r="84" spans="1:17" x14ac:dyDescent="0.15">
      <c r="A84" s="354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</row>
    <row r="85" spans="1:17" x14ac:dyDescent="0.15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68"/>
      <c r="L85" s="354"/>
      <c r="M85" s="368" t="str">
        <f ca="1">"© "&amp;YEAR(TODAY())&amp;" Piranha Ltd. All rights reserved."</f>
        <v>© 2026 Piranha Ltd. All rights reserved.</v>
      </c>
      <c r="N85" s="354"/>
      <c r="O85" s="354"/>
      <c r="P85" s="354"/>
      <c r="Q85" s="354"/>
    </row>
    <row r="86" spans="1:17" x14ac:dyDescent="0.15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</row>
    <row r="87" spans="1:17" x14ac:dyDescent="0.15">
      <c r="A87" s="354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</row>
    <row r="88" spans="1:17" x14ac:dyDescent="0.15">
      <c r="A88" s="354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</row>
  </sheetData>
  <sheetProtection formatCells="0" formatColumns="0" formatRows="0" insertColumns="0" insertRows="0" insertHyperlinks="0" deleteColumns="0" deleteRows="0" sort="0" autoFilter="0" pivotTables="0"/>
  <mergeCells count="37">
    <mergeCell ref="F21:H21"/>
    <mergeCell ref="F23:H23"/>
    <mergeCell ref="E29:F29"/>
    <mergeCell ref="F25:H25"/>
    <mergeCell ref="F9:H9"/>
    <mergeCell ref="F11:H11"/>
    <mergeCell ref="G15:H15"/>
    <mergeCell ref="G17:H17"/>
    <mergeCell ref="F22:H22"/>
    <mergeCell ref="N24:O24"/>
    <mergeCell ref="C33:E33"/>
    <mergeCell ref="C38:E38"/>
    <mergeCell ref="E28:F28"/>
    <mergeCell ref="E30:F30"/>
    <mergeCell ref="G30:H30"/>
    <mergeCell ref="J26:L26"/>
    <mergeCell ref="N30:O30"/>
    <mergeCell ref="N26:O26"/>
    <mergeCell ref="M28:O28"/>
    <mergeCell ref="F24:H24"/>
    <mergeCell ref="F26:H26"/>
    <mergeCell ref="J24:L24"/>
    <mergeCell ref="M10:N10"/>
    <mergeCell ref="F20:H20"/>
    <mergeCell ref="F12:H12"/>
    <mergeCell ref="B2:P2"/>
    <mergeCell ref="B3:P3"/>
    <mergeCell ref="F8:H8"/>
    <mergeCell ref="N14:O14"/>
    <mergeCell ref="G16:H16"/>
    <mergeCell ref="G14:H14"/>
    <mergeCell ref="F10:H10"/>
    <mergeCell ref="N18:O18"/>
    <mergeCell ref="N16:O16"/>
    <mergeCell ref="M8:N8"/>
    <mergeCell ref="G18:H18"/>
    <mergeCell ref="N20:O20"/>
  </mergeCells>
  <dataValidations count="1">
    <dataValidation type="list" showInputMessage="1" showErrorMessage="1" sqref="F12:H12" xr:uid="{9E17A56F-1950-9D4D-A83F-614BE5728300}">
      <formula1>$AI$32:$AI$34</formula1>
    </dataValidation>
  </dataValidations>
  <hyperlinks>
    <hyperlink ref="J79" r:id="rId1" xr:uid="{C118CBB9-E6DD-4357-A25F-2D822D877F42}"/>
  </hyperlinks>
  <printOptions horizontalCentered="1" verticalCentered="1"/>
  <pageMargins left="0.25" right="0.25" top="0.75" bottom="0.5" header="0.5" footer="0.5"/>
  <pageSetup paperSize="9" orientation="portrait" horizontalDpi="4294967292" verticalDpi="4294967292" r:id="rId2"/>
  <headerFooter alignWithMargins="0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24996D-E429-3D4D-8544-683E61075F57}">
          <x14:formula1>
            <xm:f>'Currency Data'!$C$7:$C$49</xm:f>
          </x14:formula1>
          <xm:sqref>M8:N8 M10:N10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8"/>
  <sheetViews>
    <sheetView workbookViewId="0">
      <selection activeCell="B23" sqref="B23"/>
    </sheetView>
  </sheetViews>
  <sheetFormatPr baseColWidth="10" defaultColWidth="8.6640625" defaultRowHeight="13" x14ac:dyDescent="0.15"/>
  <cols>
    <col min="1" max="1" width="20.83203125" style="10" customWidth="1"/>
    <col min="2" max="11" width="10.1640625" style="9" customWidth="1"/>
    <col min="12" max="16384" width="8.6640625" style="10"/>
  </cols>
  <sheetData>
    <row r="1" spans="1:11" ht="23" x14ac:dyDescent="0.25">
      <c r="A1" s="8" t="s">
        <v>29</v>
      </c>
    </row>
    <row r="2" spans="1:11" x14ac:dyDescent="0.15">
      <c r="A2" s="10" t="s">
        <v>32</v>
      </c>
    </row>
    <row r="4" spans="1:11" ht="26.25" customHeight="1" x14ac:dyDescent="0.25">
      <c r="A4" s="19" t="s">
        <v>34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15">
      <c r="D5" s="9" t="s">
        <v>26</v>
      </c>
    </row>
    <row r="7" spans="1:11" ht="16" x14ac:dyDescent="0.2">
      <c r="A7" s="20" t="s">
        <v>15</v>
      </c>
      <c r="B7" s="5" t="e">
        <f>#REF!</f>
        <v>#REF!</v>
      </c>
      <c r="C7" s="14"/>
      <c r="D7" s="14"/>
      <c r="E7" s="14"/>
      <c r="F7" s="14"/>
      <c r="G7" s="14"/>
      <c r="H7" s="14"/>
      <c r="I7" s="14"/>
      <c r="J7" s="14"/>
      <c r="K7" s="14"/>
    </row>
    <row r="8" spans="1:11" ht="16" x14ac:dyDescent="0.2">
      <c r="A8" s="20" t="s">
        <v>27</v>
      </c>
      <c r="B8" s="6" t="e">
        <f>#REF!</f>
        <v>#REF!</v>
      </c>
      <c r="C8" s="14"/>
      <c r="D8" s="14"/>
      <c r="E8" s="14"/>
      <c r="F8" s="14"/>
      <c r="G8" s="14"/>
      <c r="H8" s="14"/>
      <c r="I8" s="14"/>
      <c r="J8" s="14"/>
      <c r="K8" s="14"/>
    </row>
    <row r="9" spans="1:11" ht="16" x14ac:dyDescent="0.2">
      <c r="A9" s="20" t="s">
        <v>39</v>
      </c>
      <c r="B9" s="6" t="e">
        <f>#REF!</f>
        <v>#REF!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 s="16" customFormat="1" ht="16" x14ac:dyDescent="0.2">
      <c r="A10" s="15" t="s">
        <v>14</v>
      </c>
      <c r="B10" s="15" t="e">
        <f>#REF!+1</f>
        <v>#REF!</v>
      </c>
      <c r="C10" s="15" t="e">
        <f>B10+1</f>
        <v>#REF!</v>
      </c>
      <c r="D10" s="15" t="e">
        <f t="shared" ref="D10:K10" si="0">C10+1</f>
        <v>#REF!</v>
      </c>
      <c r="E10" s="15" t="e">
        <f t="shared" si="0"/>
        <v>#REF!</v>
      </c>
      <c r="F10" s="15" t="e">
        <f t="shared" si="0"/>
        <v>#REF!</v>
      </c>
      <c r="G10" s="15" t="e">
        <f t="shared" si="0"/>
        <v>#REF!</v>
      </c>
      <c r="H10" s="15" t="e">
        <f t="shared" si="0"/>
        <v>#REF!</v>
      </c>
      <c r="I10" s="15" t="e">
        <f t="shared" si="0"/>
        <v>#REF!</v>
      </c>
      <c r="J10" s="15" t="e">
        <f t="shared" si="0"/>
        <v>#REF!</v>
      </c>
      <c r="K10" s="15" t="e">
        <f t="shared" si="0"/>
        <v>#REF!</v>
      </c>
    </row>
    <row r="11" spans="1:11" ht="16" x14ac:dyDescent="0.2">
      <c r="A11" s="17" t="s">
        <v>18</v>
      </c>
      <c r="B11" s="21" t="e">
        <f>B7*(1+B8)</f>
        <v>#REF!</v>
      </c>
      <c r="C11" s="21" t="e">
        <f>B11*(1+B8)</f>
        <v>#REF!</v>
      </c>
      <c r="D11" s="21" t="e">
        <f>C11*(1+B8)</f>
        <v>#REF!</v>
      </c>
      <c r="E11" s="21" t="e">
        <f>D11*(1+B8)</f>
        <v>#REF!</v>
      </c>
      <c r="F11" s="21" t="e">
        <f>E11*(1+B8)</f>
        <v>#REF!</v>
      </c>
      <c r="G11" s="21" t="e">
        <f>F11*(1+B8)</f>
        <v>#REF!</v>
      </c>
      <c r="H11" s="21" t="e">
        <f>G11*(1+B8)</f>
        <v>#REF!</v>
      </c>
      <c r="I11" s="21" t="e">
        <f>H11*(1+B8)</f>
        <v>#REF!</v>
      </c>
      <c r="J11" s="21" t="e">
        <f>I11*(1+B8)</f>
        <v>#REF!</v>
      </c>
      <c r="K11" s="21" t="e">
        <f>J11*(1+B8)</f>
        <v>#REF!</v>
      </c>
    </row>
    <row r="12" spans="1:11" ht="16" x14ac:dyDescent="0.2">
      <c r="A12" s="22" t="s">
        <v>16</v>
      </c>
      <c r="B12" s="23" t="e">
        <f>1/(1+$B$9)</f>
        <v>#REF!</v>
      </c>
      <c r="C12" s="23" t="e">
        <f>B12/(1+$B$9)</f>
        <v>#REF!</v>
      </c>
      <c r="D12" s="23" t="e">
        <f t="shared" ref="D12:K12" si="1">C12/(1+$B$9)</f>
        <v>#REF!</v>
      </c>
      <c r="E12" s="23" t="e">
        <f t="shared" si="1"/>
        <v>#REF!</v>
      </c>
      <c r="F12" s="23" t="e">
        <f t="shared" si="1"/>
        <v>#REF!</v>
      </c>
      <c r="G12" s="23" t="e">
        <f t="shared" si="1"/>
        <v>#REF!</v>
      </c>
      <c r="H12" s="23" t="e">
        <f t="shared" si="1"/>
        <v>#REF!</v>
      </c>
      <c r="I12" s="23" t="e">
        <f t="shared" si="1"/>
        <v>#REF!</v>
      </c>
      <c r="J12" s="23" t="e">
        <f t="shared" si="1"/>
        <v>#REF!</v>
      </c>
      <c r="K12" s="23" t="e">
        <f t="shared" si="1"/>
        <v>#REF!</v>
      </c>
    </row>
    <row r="13" spans="1:11" ht="16" x14ac:dyDescent="0.2">
      <c r="A13" s="24" t="s">
        <v>17</v>
      </c>
      <c r="B13" s="25" t="e">
        <f t="shared" ref="B13:K13" si="2">B11*B12</f>
        <v>#REF!</v>
      </c>
      <c r="C13" s="25" t="e">
        <f t="shared" si="2"/>
        <v>#REF!</v>
      </c>
      <c r="D13" s="25" t="e">
        <f t="shared" si="2"/>
        <v>#REF!</v>
      </c>
      <c r="E13" s="25" t="e">
        <f t="shared" si="2"/>
        <v>#REF!</v>
      </c>
      <c r="F13" s="25" t="e">
        <f t="shared" si="2"/>
        <v>#REF!</v>
      </c>
      <c r="G13" s="25" t="e">
        <f t="shared" si="2"/>
        <v>#REF!</v>
      </c>
      <c r="H13" s="25" t="e">
        <f t="shared" si="2"/>
        <v>#REF!</v>
      </c>
      <c r="I13" s="25" t="e">
        <f t="shared" si="2"/>
        <v>#REF!</v>
      </c>
      <c r="J13" s="25" t="e">
        <f t="shared" si="2"/>
        <v>#REF!</v>
      </c>
      <c r="K13" s="25" t="e">
        <f t="shared" si="2"/>
        <v>#REF!</v>
      </c>
    </row>
    <row r="14" spans="1:11" ht="16" x14ac:dyDescent="0.2">
      <c r="A14" s="26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6" x14ac:dyDescent="0.2">
      <c r="A15" s="33" t="s">
        <v>40</v>
      </c>
      <c r="B15" s="34" t="e">
        <f>SUM(B13:K13)</f>
        <v>#REF!</v>
      </c>
      <c r="D15" s="13"/>
      <c r="E15" s="13"/>
      <c r="F15" s="13"/>
      <c r="G15" s="13"/>
      <c r="H15" s="13"/>
      <c r="I15" s="13"/>
      <c r="J15" s="13"/>
      <c r="K15" s="13"/>
    </row>
    <row r="17" spans="1:9" ht="16" x14ac:dyDescent="0.2">
      <c r="A17" s="27" t="s">
        <v>19</v>
      </c>
      <c r="B17" s="28"/>
      <c r="C17" s="28"/>
      <c r="D17" s="28"/>
      <c r="E17" s="28"/>
      <c r="F17" s="28"/>
      <c r="G17" s="28"/>
      <c r="H17" s="28"/>
      <c r="I17" s="29"/>
    </row>
    <row r="18" spans="1:9" ht="16" x14ac:dyDescent="0.2">
      <c r="A18" s="30" t="s">
        <v>20</v>
      </c>
      <c r="B18" s="31"/>
      <c r="C18" s="31"/>
      <c r="D18" s="31"/>
      <c r="E18" s="31"/>
      <c r="F18" s="31"/>
      <c r="G18" s="31"/>
      <c r="H18" s="31"/>
      <c r="I18" s="32"/>
    </row>
  </sheetData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23"/>
  <sheetViews>
    <sheetView workbookViewId="0">
      <selection activeCell="C26" sqref="C26"/>
    </sheetView>
  </sheetViews>
  <sheetFormatPr baseColWidth="10" defaultColWidth="11" defaultRowHeight="13" x14ac:dyDescent="0.15"/>
  <cols>
    <col min="1" max="1" width="27" style="10" customWidth="1"/>
    <col min="2" max="2" width="14.5" style="9" customWidth="1"/>
    <col min="3" max="3" width="15.1640625" style="9" customWidth="1"/>
    <col min="4" max="4" width="13.83203125" style="9" customWidth="1"/>
    <col min="5" max="11" width="14" style="9" bestFit="1" customWidth="1"/>
    <col min="12" max="16384" width="11" style="10"/>
  </cols>
  <sheetData>
    <row r="1" spans="1:11" ht="23" x14ac:dyDescent="0.25">
      <c r="A1" s="8" t="s">
        <v>29</v>
      </c>
    </row>
    <row r="2" spans="1:11" x14ac:dyDescent="0.15">
      <c r="A2" s="10" t="s">
        <v>32</v>
      </c>
    </row>
    <row r="4" spans="1:11" ht="26.25" customHeight="1" x14ac:dyDescent="0.25">
      <c r="A4" s="499" t="s">
        <v>33</v>
      </c>
      <c r="B4" s="499"/>
      <c r="C4" s="499"/>
      <c r="D4" s="499"/>
      <c r="E4" s="499"/>
      <c r="F4" s="499"/>
      <c r="G4" s="499"/>
      <c r="H4" s="499"/>
      <c r="I4" s="499"/>
      <c r="J4" s="499"/>
      <c r="K4" s="499"/>
    </row>
    <row r="5" spans="1:11" x14ac:dyDescent="0.15">
      <c r="D5" s="9" t="s">
        <v>25</v>
      </c>
    </row>
    <row r="7" spans="1:11" ht="16" x14ac:dyDescent="0.2">
      <c r="A7" s="497" t="s">
        <v>30</v>
      </c>
      <c r="B7" s="498"/>
      <c r="C7" s="3" t="e">
        <f>#REF!</f>
        <v>#REF!</v>
      </c>
      <c r="D7" s="12" t="s">
        <v>31</v>
      </c>
      <c r="E7" s="13"/>
      <c r="F7" s="13"/>
      <c r="G7" s="13"/>
      <c r="H7" s="13"/>
      <c r="I7" s="13"/>
      <c r="J7" s="13"/>
      <c r="K7" s="13"/>
    </row>
    <row r="8" spans="1:11" ht="16" x14ac:dyDescent="0.2">
      <c r="A8" s="497" t="s">
        <v>21</v>
      </c>
      <c r="B8" s="498"/>
      <c r="C8" s="4" t="e">
        <f>#REF!</f>
        <v>#REF!</v>
      </c>
      <c r="D8" s="1"/>
      <c r="E8" s="2"/>
      <c r="F8" s="2"/>
      <c r="G8" s="2"/>
      <c r="H8" s="2"/>
      <c r="I8" s="2"/>
      <c r="J8" s="2"/>
      <c r="K8" s="2"/>
    </row>
    <row r="9" spans="1:11" ht="16" x14ac:dyDescent="0.2">
      <c r="A9" s="506" t="s">
        <v>39</v>
      </c>
      <c r="B9" s="507"/>
      <c r="C9" s="6" t="e">
        <f>#REF!</f>
        <v>#REF!</v>
      </c>
      <c r="D9" s="14"/>
      <c r="E9" s="14"/>
      <c r="F9" s="14"/>
      <c r="G9" s="14"/>
      <c r="H9" s="14"/>
      <c r="I9" s="14"/>
      <c r="J9" s="14"/>
      <c r="K9" s="14"/>
    </row>
    <row r="11" spans="1:11" ht="16" x14ac:dyDescent="0.2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s="16" customFormat="1" ht="16" x14ac:dyDescent="0.2">
      <c r="A12" s="15" t="s">
        <v>14</v>
      </c>
      <c r="B12" s="15" t="e">
        <f>#REF!+1</f>
        <v>#REF!</v>
      </c>
      <c r="C12" s="15" t="e">
        <f>B12+1</f>
        <v>#REF!</v>
      </c>
      <c r="D12" s="15" t="e">
        <f t="shared" ref="D12:K12" si="0">C12+1</f>
        <v>#REF!</v>
      </c>
      <c r="E12" s="15" t="e">
        <f t="shared" si="0"/>
        <v>#REF!</v>
      </c>
      <c r="F12" s="15" t="e">
        <f t="shared" si="0"/>
        <v>#REF!</v>
      </c>
      <c r="G12" s="15" t="e">
        <f t="shared" si="0"/>
        <v>#REF!</v>
      </c>
      <c r="H12" s="15" t="e">
        <f t="shared" si="0"/>
        <v>#REF!</v>
      </c>
      <c r="I12" s="15" t="e">
        <f t="shared" si="0"/>
        <v>#REF!</v>
      </c>
      <c r="J12" s="15" t="e">
        <f t="shared" si="0"/>
        <v>#REF!</v>
      </c>
      <c r="K12" s="15" t="e">
        <f t="shared" si="0"/>
        <v>#REF!</v>
      </c>
    </row>
    <row r="13" spans="1:11" s="43" customFormat="1" ht="16" x14ac:dyDescent="0.15">
      <c r="A13" s="41" t="s">
        <v>35</v>
      </c>
      <c r="B13" s="42" t="e">
        <f>C7*(1+C8)</f>
        <v>#REF!</v>
      </c>
      <c r="C13" s="42" t="e">
        <f>B13*(1+$C$8)</f>
        <v>#REF!</v>
      </c>
      <c r="D13" s="42" t="e">
        <f t="shared" ref="D13:K13" si="1">C13*(1+$C$8)</f>
        <v>#REF!</v>
      </c>
      <c r="E13" s="42" t="e">
        <f t="shared" si="1"/>
        <v>#REF!</v>
      </c>
      <c r="F13" s="42" t="e">
        <f t="shared" si="1"/>
        <v>#REF!</v>
      </c>
      <c r="G13" s="42" t="e">
        <f t="shared" si="1"/>
        <v>#REF!</v>
      </c>
      <c r="H13" s="42" t="e">
        <f t="shared" si="1"/>
        <v>#REF!</v>
      </c>
      <c r="I13" s="42" t="e">
        <f t="shared" si="1"/>
        <v>#REF!</v>
      </c>
      <c r="J13" s="42" t="e">
        <f t="shared" si="1"/>
        <v>#REF!</v>
      </c>
      <c r="K13" s="42" t="e">
        <f t="shared" si="1"/>
        <v>#REF!</v>
      </c>
    </row>
    <row r="14" spans="1:11" s="43" customFormat="1" ht="16" x14ac:dyDescent="0.15">
      <c r="A14" s="44" t="s">
        <v>16</v>
      </c>
      <c r="B14" s="45" t="e">
        <f>1/(1+$C$9)</f>
        <v>#REF!</v>
      </c>
      <c r="C14" s="45" t="e">
        <f>B14/(1+$C$9)</f>
        <v>#REF!</v>
      </c>
      <c r="D14" s="45" t="e">
        <f t="shared" ref="D14:K14" si="2">C14/(1+$C$9)</f>
        <v>#REF!</v>
      </c>
      <c r="E14" s="45" t="e">
        <f t="shared" si="2"/>
        <v>#REF!</v>
      </c>
      <c r="F14" s="45" t="e">
        <f t="shared" si="2"/>
        <v>#REF!</v>
      </c>
      <c r="G14" s="45" t="e">
        <f t="shared" si="2"/>
        <v>#REF!</v>
      </c>
      <c r="H14" s="45" t="e">
        <f t="shared" si="2"/>
        <v>#REF!</v>
      </c>
      <c r="I14" s="45" t="e">
        <f t="shared" si="2"/>
        <v>#REF!</v>
      </c>
      <c r="J14" s="45" t="e">
        <f t="shared" si="2"/>
        <v>#REF!</v>
      </c>
      <c r="K14" s="45" t="e">
        <f t="shared" si="2"/>
        <v>#REF!</v>
      </c>
    </row>
    <row r="15" spans="1:11" s="43" customFormat="1" ht="16" x14ac:dyDescent="0.15">
      <c r="A15" s="46" t="s">
        <v>17</v>
      </c>
      <c r="B15" s="47" t="e">
        <f t="shared" ref="B15:K15" si="3">B13*B14</f>
        <v>#REF!</v>
      </c>
      <c r="C15" s="47" t="e">
        <f t="shared" si="3"/>
        <v>#REF!</v>
      </c>
      <c r="D15" s="47" t="e">
        <f t="shared" si="3"/>
        <v>#REF!</v>
      </c>
      <c r="E15" s="47" t="e">
        <f t="shared" si="3"/>
        <v>#REF!</v>
      </c>
      <c r="F15" s="47" t="e">
        <f t="shared" si="3"/>
        <v>#REF!</v>
      </c>
      <c r="G15" s="47" t="e">
        <f t="shared" si="3"/>
        <v>#REF!</v>
      </c>
      <c r="H15" s="47" t="e">
        <f t="shared" si="3"/>
        <v>#REF!</v>
      </c>
      <c r="I15" s="47" t="e">
        <f t="shared" si="3"/>
        <v>#REF!</v>
      </c>
      <c r="J15" s="47" t="e">
        <f t="shared" si="3"/>
        <v>#REF!</v>
      </c>
      <c r="K15" s="47" t="e">
        <f t="shared" si="3"/>
        <v>#REF!</v>
      </c>
    </row>
    <row r="16" spans="1:11" ht="16" x14ac:dyDescent="0.2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6" x14ac:dyDescent="0.2">
      <c r="A17" s="504" t="s">
        <v>23</v>
      </c>
      <c r="B17" s="505"/>
      <c r="C17" s="7" t="e">
        <f>#REF!</f>
        <v>#REF!</v>
      </c>
      <c r="D17" s="18" t="s">
        <v>31</v>
      </c>
    </row>
    <row r="18" spans="1:11" ht="17" thickBot="1" x14ac:dyDescent="0.25">
      <c r="A18" s="37"/>
      <c r="B18" s="38"/>
      <c r="C18" s="35"/>
      <c r="D18" s="36"/>
    </row>
    <row r="19" spans="1:11" ht="20.25" customHeight="1" thickBot="1" x14ac:dyDescent="0.25">
      <c r="A19" s="500" t="s">
        <v>22</v>
      </c>
      <c r="B19" s="501"/>
      <c r="C19" s="40" t="e">
        <f>B15+C15+D15+E15+F15+G15+H15+I15+J15+K15</f>
        <v>#REF!</v>
      </c>
      <c r="D19" s="39" t="s">
        <v>31</v>
      </c>
      <c r="E19" s="13"/>
      <c r="F19" s="13"/>
      <c r="G19" s="13"/>
      <c r="H19" s="13"/>
      <c r="I19" s="13"/>
      <c r="J19" s="13"/>
      <c r="K19" s="13"/>
    </row>
    <row r="20" spans="1:11" ht="20.25" customHeight="1" thickBot="1" x14ac:dyDescent="0.2">
      <c r="A20" s="502" t="s">
        <v>24</v>
      </c>
      <c r="B20" s="503"/>
      <c r="C20" s="508" t="e">
        <f>C19/C17</f>
        <v>#REF!</v>
      </c>
      <c r="D20" s="509"/>
    </row>
    <row r="22" spans="1:11" ht="16" x14ac:dyDescent="0.2">
      <c r="A22" s="491" t="s">
        <v>28</v>
      </c>
      <c r="B22" s="492"/>
      <c r="C22" s="492"/>
      <c r="D22" s="492"/>
      <c r="E22" s="492"/>
      <c r="F22" s="492"/>
      <c r="G22" s="492"/>
      <c r="H22" s="492"/>
      <c r="I22" s="492"/>
      <c r="J22" s="493"/>
    </row>
    <row r="23" spans="1:11" ht="16" x14ac:dyDescent="0.2">
      <c r="A23" s="494" t="s">
        <v>20</v>
      </c>
      <c r="B23" s="495"/>
      <c r="C23" s="495"/>
      <c r="D23" s="495"/>
      <c r="E23" s="495"/>
      <c r="F23" s="495"/>
      <c r="G23" s="495"/>
      <c r="H23" s="495"/>
      <c r="I23" s="495"/>
      <c r="J23" s="496"/>
    </row>
  </sheetData>
  <mergeCells count="10">
    <mergeCell ref="A22:J22"/>
    <mergeCell ref="A23:J23"/>
    <mergeCell ref="A7:B7"/>
    <mergeCell ref="A8:B8"/>
    <mergeCell ref="A4:K4"/>
    <mergeCell ref="A19:B19"/>
    <mergeCell ref="A20:B20"/>
    <mergeCell ref="A17:B17"/>
    <mergeCell ref="A9:B9"/>
    <mergeCell ref="C20:D20"/>
  </mergeCells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7C43-A52F-CD4E-B64E-21D989FE0332}">
  <sheetPr>
    <tabColor rgb="FF485D73"/>
  </sheetPr>
  <dimension ref="A1:AP39"/>
  <sheetViews>
    <sheetView showGridLines="0" zoomScaleNormal="100" zoomScaleSheetLayoutView="394" workbookViewId="0"/>
  </sheetViews>
  <sheetFormatPr baseColWidth="10" defaultColWidth="8.6640625" defaultRowHeight="13" x14ac:dyDescent="0.15"/>
  <cols>
    <col min="1" max="1" width="1.1640625" style="97" customWidth="1"/>
    <col min="2" max="2" width="5.6640625" style="97" customWidth="1"/>
    <col min="3" max="15" width="13.6640625" style="97" customWidth="1"/>
    <col min="16" max="16" width="6.6640625" style="97" customWidth="1"/>
    <col min="17" max="17" width="1.1640625" style="97" customWidth="1"/>
    <col min="18" max="34" width="8.6640625" style="97"/>
    <col min="35" max="35" width="23.6640625" style="97" hidden="1" customWidth="1"/>
    <col min="36" max="36" width="26.6640625" style="97" hidden="1" customWidth="1"/>
    <col min="37" max="37" width="18.1640625" style="97" hidden="1" customWidth="1"/>
    <col min="38" max="38" width="33.6640625" style="97" hidden="1" customWidth="1"/>
    <col min="39" max="39" width="34.1640625" style="97" hidden="1" customWidth="1"/>
    <col min="40" max="40" width="28.33203125" style="97" hidden="1" customWidth="1"/>
    <col min="41" max="41" width="30.6640625" style="97" hidden="1" customWidth="1"/>
    <col min="42" max="42" width="35.6640625" style="97" hidden="1" customWidth="1"/>
    <col min="43" max="16384" width="8.6640625" style="97"/>
  </cols>
  <sheetData>
    <row r="1" spans="1:17" ht="7.5" customHeight="1" thickBot="1" x14ac:dyDescent="0.3">
      <c r="A1" s="86"/>
      <c r="B1" s="86"/>
      <c r="C1" s="87"/>
      <c r="D1" s="87"/>
      <c r="E1" s="87"/>
      <c r="F1" s="88"/>
      <c r="G1" s="88"/>
      <c r="H1" s="88"/>
      <c r="I1" s="88"/>
      <c r="J1" s="88"/>
      <c r="K1" s="88"/>
      <c r="L1" s="88"/>
      <c r="M1" s="88"/>
      <c r="N1" s="88"/>
      <c r="O1" s="88"/>
      <c r="P1" s="86"/>
      <c r="Q1" s="86"/>
    </row>
    <row r="2" spans="1:17" ht="41.25" customHeight="1" x14ac:dyDescent="0.25">
      <c r="A2" s="86"/>
      <c r="B2" s="512" t="s">
        <v>293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4"/>
      <c r="Q2" s="86"/>
    </row>
    <row r="3" spans="1:17" ht="25" customHeight="1" x14ac:dyDescent="0.25">
      <c r="A3" s="86"/>
      <c r="B3" s="395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7"/>
      <c r="Q3" s="86"/>
    </row>
    <row r="4" spans="1:17" ht="5.25" customHeight="1" thickBot="1" x14ac:dyDescent="0.2">
      <c r="A4" s="86"/>
      <c r="B4" s="89"/>
      <c r="C4" s="90"/>
      <c r="D4" s="90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  <c r="Q4" s="86"/>
    </row>
    <row r="5" spans="1:17" ht="11.25" customHeight="1" x14ac:dyDescent="0.15">
      <c r="A5" s="86"/>
      <c r="B5" s="142"/>
      <c r="C5" s="143"/>
      <c r="D5" s="143"/>
      <c r="E5" s="143"/>
      <c r="F5" s="144"/>
      <c r="G5" s="144"/>
      <c r="H5" s="144"/>
      <c r="I5" s="145"/>
      <c r="J5" s="145"/>
      <c r="K5" s="145"/>
      <c r="L5" s="145"/>
      <c r="M5" s="145"/>
      <c r="N5" s="145"/>
      <c r="O5" s="145"/>
      <c r="P5" s="146"/>
      <c r="Q5" s="86"/>
    </row>
    <row r="6" spans="1:17" ht="28" customHeight="1" x14ac:dyDescent="0.25">
      <c r="A6" s="86"/>
      <c r="B6" s="142"/>
      <c r="C6" s="147" t="s">
        <v>0</v>
      </c>
      <c r="D6" s="148"/>
      <c r="E6" s="148"/>
      <c r="F6" s="149"/>
      <c r="G6" s="149"/>
      <c r="H6" s="150"/>
      <c r="I6" s="151"/>
      <c r="J6" s="151"/>
      <c r="K6" s="151"/>
      <c r="L6" s="151"/>
      <c r="M6" s="151"/>
      <c r="N6" s="151"/>
      <c r="O6" s="151"/>
      <c r="P6" s="152"/>
      <c r="Q6" s="86"/>
    </row>
    <row r="7" spans="1:17" ht="8" customHeight="1" x14ac:dyDescent="0.2">
      <c r="A7" s="86"/>
      <c r="B7" s="142"/>
      <c r="C7" s="153"/>
      <c r="D7" s="153"/>
      <c r="E7" s="153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2"/>
      <c r="Q7" s="86"/>
    </row>
    <row r="8" spans="1:17" ht="28" customHeight="1" x14ac:dyDescent="0.15">
      <c r="A8" s="86"/>
      <c r="B8" s="142"/>
      <c r="C8" s="161" t="s">
        <v>37</v>
      </c>
      <c r="D8" s="420"/>
      <c r="E8" s="421"/>
      <c r="F8" s="515" t="s">
        <v>277</v>
      </c>
      <c r="G8" s="516"/>
      <c r="H8" s="517"/>
      <c r="I8" s="143"/>
      <c r="J8" s="125" t="s">
        <v>164</v>
      </c>
      <c r="K8" s="136"/>
      <c r="L8" s="137"/>
      <c r="M8" s="441" t="s">
        <v>11</v>
      </c>
      <c r="N8" s="442"/>
      <c r="O8" s="151"/>
      <c r="P8" s="152"/>
      <c r="Q8" s="86"/>
    </row>
    <row r="9" spans="1:17" ht="4" customHeight="1" x14ac:dyDescent="0.2">
      <c r="A9" s="86"/>
      <c r="B9" s="142"/>
      <c r="C9" s="153"/>
      <c r="D9" s="153"/>
      <c r="E9" s="153"/>
      <c r="F9" s="151"/>
      <c r="G9" s="151"/>
      <c r="H9" s="151"/>
      <c r="I9" s="151"/>
      <c r="J9" s="151"/>
      <c r="K9" s="151"/>
      <c r="L9" s="151"/>
      <c r="M9" s="160"/>
      <c r="N9" s="151"/>
      <c r="O9" s="151"/>
      <c r="P9" s="152"/>
      <c r="Q9" s="86"/>
    </row>
    <row r="10" spans="1:17" ht="28" customHeight="1" x14ac:dyDescent="0.15">
      <c r="A10" s="86"/>
      <c r="B10" s="142"/>
      <c r="C10" s="161" t="s">
        <v>38</v>
      </c>
      <c r="D10" s="420"/>
      <c r="E10" s="420"/>
      <c r="F10" s="518" t="s">
        <v>278</v>
      </c>
      <c r="G10" s="519"/>
      <c r="H10" s="520"/>
      <c r="I10" s="143"/>
      <c r="J10" s="125" t="s">
        <v>170</v>
      </c>
      <c r="K10" s="136"/>
      <c r="L10" s="137"/>
      <c r="M10" s="441" t="s">
        <v>11</v>
      </c>
      <c r="N10" s="442"/>
      <c r="O10" s="151"/>
      <c r="P10" s="152"/>
      <c r="Q10" s="86"/>
    </row>
    <row r="11" spans="1:17" ht="4" customHeight="1" x14ac:dyDescent="0.2">
      <c r="A11" s="86"/>
      <c r="B11" s="142"/>
      <c r="C11" s="153"/>
      <c r="D11" s="153"/>
      <c r="E11" s="153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86"/>
    </row>
    <row r="12" spans="1:17" ht="28" customHeight="1" x14ac:dyDescent="0.15">
      <c r="A12" s="86"/>
      <c r="B12" s="142"/>
      <c r="C12" s="161" t="s">
        <v>279</v>
      </c>
      <c r="D12" s="420"/>
      <c r="E12" s="420"/>
      <c r="F12" s="126" t="str">
        <f>$M$8</f>
        <v>USD$</v>
      </c>
      <c r="G12" s="510">
        <v>100</v>
      </c>
      <c r="H12" s="511"/>
      <c r="I12" s="151"/>
      <c r="J12" s="125" t="s">
        <v>165</v>
      </c>
      <c r="K12" s="136"/>
      <c r="L12" s="379" t="str">
        <f>"1 "&amp;M8&amp;" is equivalent to "</f>
        <v xml:space="preserve">1 USD$ is equivalent to </v>
      </c>
      <c r="M12" s="140">
        <v>1</v>
      </c>
      <c r="N12" s="135" t="str">
        <f>M10</f>
        <v>USD$</v>
      </c>
      <c r="O12" s="151"/>
      <c r="P12" s="152"/>
      <c r="Q12" s="86"/>
    </row>
    <row r="13" spans="1:17" ht="10" customHeight="1" x14ac:dyDescent="0.2">
      <c r="A13" s="86"/>
      <c r="B13" s="142"/>
      <c r="C13" s="153"/>
      <c r="D13" s="153"/>
      <c r="E13" s="153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2"/>
      <c r="Q13" s="86"/>
    </row>
    <row r="14" spans="1:17" ht="28" customHeight="1" x14ac:dyDescent="0.15">
      <c r="A14" s="86"/>
      <c r="B14" s="142"/>
      <c r="C14" s="125" t="s">
        <v>295</v>
      </c>
      <c r="D14" s="136"/>
      <c r="E14" s="137"/>
      <c r="F14" s="441" t="s">
        <v>296</v>
      </c>
      <c r="G14" s="442"/>
      <c r="H14" s="151"/>
      <c r="I14" s="151"/>
      <c r="J14" s="151"/>
      <c r="K14" s="151"/>
      <c r="L14" s="151"/>
      <c r="M14" s="151"/>
      <c r="N14" s="151"/>
      <c r="O14" s="151"/>
      <c r="P14" s="152"/>
      <c r="Q14" s="86"/>
    </row>
    <row r="15" spans="1:17" ht="10" customHeight="1" x14ac:dyDescent="0.2">
      <c r="A15" s="86"/>
      <c r="B15" s="142"/>
      <c r="C15" s="153"/>
      <c r="D15" s="153"/>
      <c r="E15" s="153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2"/>
      <c r="Q15" s="86"/>
    </row>
    <row r="16" spans="1:17" ht="28" customHeight="1" x14ac:dyDescent="0.2">
      <c r="A16" s="86"/>
      <c r="B16" s="142"/>
      <c r="C16" s="153"/>
      <c r="D16" s="153"/>
      <c r="E16" s="422" t="s">
        <v>267</v>
      </c>
      <c r="F16" s="385">
        <f t="shared" ref="F16:M16" si="0">DATE(YEAR(G16)-1,MONTH(G16),DAY(G16))</f>
        <v>42369</v>
      </c>
      <c r="G16" s="385">
        <f t="shared" si="0"/>
        <v>42735</v>
      </c>
      <c r="H16" s="385">
        <f t="shared" si="0"/>
        <v>43100</v>
      </c>
      <c r="I16" s="385">
        <f t="shared" si="0"/>
        <v>43465</v>
      </c>
      <c r="J16" s="385">
        <f t="shared" si="0"/>
        <v>43830</v>
      </c>
      <c r="K16" s="385">
        <f t="shared" si="0"/>
        <v>44196</v>
      </c>
      <c r="L16" s="385">
        <f t="shared" si="0"/>
        <v>44561</v>
      </c>
      <c r="M16" s="385">
        <f t="shared" si="0"/>
        <v>44926</v>
      </c>
      <c r="N16" s="385">
        <f>DATE(YEAR(O16)-1,MONTH(O16),DAY(O16))</f>
        <v>45291</v>
      </c>
      <c r="O16" s="386">
        <v>45657</v>
      </c>
      <c r="P16" s="152"/>
      <c r="Q16" s="86"/>
    </row>
    <row r="17" spans="1:17" ht="28" customHeight="1" x14ac:dyDescent="0.15">
      <c r="A17" s="86"/>
      <c r="B17" s="142"/>
      <c r="C17" s="161" t="s">
        <v>264</v>
      </c>
      <c r="D17" s="420"/>
      <c r="E17" s="421"/>
      <c r="F17" s="384">
        <v>1.1100000000000001</v>
      </c>
      <c r="G17" s="384">
        <v>1.35</v>
      </c>
      <c r="H17" s="384">
        <v>1.6</v>
      </c>
      <c r="I17" s="384">
        <v>1.4</v>
      </c>
      <c r="J17" s="384">
        <v>1.85</v>
      </c>
      <c r="K17" s="384">
        <v>1.61</v>
      </c>
      <c r="L17" s="384">
        <v>1.83</v>
      </c>
      <c r="M17" s="384">
        <v>1.54</v>
      </c>
      <c r="N17" s="384">
        <v>1.7</v>
      </c>
      <c r="O17" s="384">
        <v>2.08</v>
      </c>
      <c r="P17" s="152"/>
      <c r="Q17" s="86"/>
    </row>
    <row r="18" spans="1:17" ht="10" customHeight="1" x14ac:dyDescent="0.2">
      <c r="A18" s="86"/>
      <c r="B18" s="142"/>
      <c r="C18" s="153"/>
      <c r="D18" s="153"/>
      <c r="E18" s="153"/>
      <c r="F18" s="151"/>
      <c r="G18" s="151"/>
      <c r="H18" s="151"/>
      <c r="I18" s="153"/>
      <c r="J18" s="151"/>
      <c r="K18" s="151"/>
      <c r="L18" s="151"/>
      <c r="M18" s="151"/>
      <c r="N18" s="151"/>
      <c r="O18" s="151"/>
      <c r="P18" s="152"/>
      <c r="Q18" s="86"/>
    </row>
    <row r="19" spans="1:17" ht="28" customHeight="1" x14ac:dyDescent="0.2">
      <c r="A19" s="86"/>
      <c r="B19" s="142"/>
      <c r="C19" s="161" t="s">
        <v>265</v>
      </c>
      <c r="D19" s="423"/>
      <c r="E19" s="424"/>
      <c r="F19" s="521">
        <f>IF(ISNUMBER(SEARCH("5",$F$14)),AVERAGE($K17:$O17),IF(ISNUMBER(SEARCH("10",$F$14)),AVERAGE($F17:$O17),""))</f>
        <v>1.7520000000000002</v>
      </c>
      <c r="G19" s="522"/>
      <c r="H19" s="523"/>
      <c r="I19" s="153"/>
      <c r="J19" s="161" t="s">
        <v>269</v>
      </c>
      <c r="K19" s="423"/>
      <c r="L19" s="424"/>
      <c r="M19" s="521">
        <f>IF(ISNUMBER(SEARCH("5",$F$14)),_xlfn.STDEV.S($K17:$O17),IF(ISNUMBER(SEARCH("10",$F$14)),_xlfn.STDEV.S($F17:$O17),""))</f>
        <v>0.21300234740490151</v>
      </c>
      <c r="N19" s="522"/>
      <c r="O19" s="523"/>
      <c r="P19" s="152"/>
      <c r="Q19" s="86"/>
    </row>
    <row r="20" spans="1:17" ht="10" customHeight="1" x14ac:dyDescent="0.2">
      <c r="A20" s="86"/>
      <c r="B20" s="142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2"/>
      <c r="Q20" s="86"/>
    </row>
    <row r="21" spans="1:17" ht="28" customHeight="1" x14ac:dyDescent="0.2">
      <c r="A21" s="86"/>
      <c r="B21" s="142"/>
      <c r="C21" s="419"/>
      <c r="D21" s="153"/>
      <c r="E21" s="153"/>
      <c r="F21" s="524" t="s">
        <v>285</v>
      </c>
      <c r="G21" s="524"/>
      <c r="H21" s="524" t="s">
        <v>286</v>
      </c>
      <c r="I21" s="524"/>
      <c r="J21" s="525" t="s">
        <v>266</v>
      </c>
      <c r="K21" s="525"/>
      <c r="L21" s="524" t="s">
        <v>287</v>
      </c>
      <c r="M21" s="524"/>
      <c r="N21" s="524" t="s">
        <v>288</v>
      </c>
      <c r="O21" s="524"/>
      <c r="P21" s="152"/>
      <c r="Q21" s="86"/>
    </row>
    <row r="22" spans="1:17" s="100" customFormat="1" ht="28" customHeight="1" x14ac:dyDescent="0.15">
      <c r="A22" s="94"/>
      <c r="B22" s="389"/>
      <c r="C22" s="527" t="s">
        <v>268</v>
      </c>
      <c r="D22" s="528"/>
      <c r="E22" s="425"/>
      <c r="F22" s="526">
        <f>$F$19-$M$19*2</f>
        <v>1.3259953051901971</v>
      </c>
      <c r="G22" s="526"/>
      <c r="H22" s="526">
        <f>$F$19-$M$19*1</f>
        <v>1.5389976525950988</v>
      </c>
      <c r="I22" s="529"/>
      <c r="J22" s="526">
        <f>F19</f>
        <v>1.7520000000000002</v>
      </c>
      <c r="K22" s="526"/>
      <c r="L22" s="530">
        <f>$F$19+$M$19*1</f>
        <v>1.9650023474049017</v>
      </c>
      <c r="M22" s="526"/>
      <c r="N22" s="526">
        <f>$F$19+$M$19*2</f>
        <v>2.1780046948098031</v>
      </c>
      <c r="O22" s="526"/>
      <c r="P22" s="390"/>
      <c r="Q22" s="94"/>
    </row>
    <row r="23" spans="1:17" s="100" customFormat="1" ht="28" customHeight="1" x14ac:dyDescent="0.15">
      <c r="A23" s="94"/>
      <c r="B23" s="389"/>
      <c r="C23" s="531" t="s">
        <v>280</v>
      </c>
      <c r="D23" s="532"/>
      <c r="E23" s="418" t="str">
        <f>$M$8</f>
        <v>USD$</v>
      </c>
      <c r="F23" s="526">
        <f>F22*$G$12</f>
        <v>132.59953051901971</v>
      </c>
      <c r="G23" s="526"/>
      <c r="H23" s="526">
        <f t="shared" ref="H23" si="1">H22*$G$12</f>
        <v>153.89976525950988</v>
      </c>
      <c r="I23" s="529"/>
      <c r="J23" s="533">
        <f t="shared" ref="J23" si="2">J22*$G$12</f>
        <v>175.20000000000002</v>
      </c>
      <c r="K23" s="533"/>
      <c r="L23" s="530">
        <f t="shared" ref="L23" si="3">L22*$G$12</f>
        <v>196.50023474049016</v>
      </c>
      <c r="M23" s="526"/>
      <c r="N23" s="526">
        <f t="shared" ref="N23" si="4">N22*$G$12</f>
        <v>217.8004694809803</v>
      </c>
      <c r="O23" s="526"/>
      <c r="P23" s="390"/>
      <c r="Q23" s="94"/>
    </row>
    <row r="24" spans="1:17" ht="20" customHeight="1" thickBot="1" x14ac:dyDescent="0.25">
      <c r="A24" s="86"/>
      <c r="B24" s="14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2"/>
      <c r="Q24" s="86"/>
    </row>
    <row r="25" spans="1:17" ht="28" customHeight="1" thickBot="1" x14ac:dyDescent="0.25">
      <c r="A25" s="86"/>
      <c r="B25" s="142"/>
      <c r="C25" s="153"/>
      <c r="D25" s="153"/>
      <c r="E25" s="153"/>
      <c r="F25" s="534" t="s">
        <v>292</v>
      </c>
      <c r="G25" s="534"/>
      <c r="H25" s="534" t="s">
        <v>291</v>
      </c>
      <c r="I25" s="535"/>
      <c r="J25" s="536" t="s">
        <v>284</v>
      </c>
      <c r="K25" s="537"/>
      <c r="L25" s="538" t="s">
        <v>290</v>
      </c>
      <c r="M25" s="534"/>
      <c r="N25" s="534" t="s">
        <v>289</v>
      </c>
      <c r="O25" s="534"/>
      <c r="P25" s="152"/>
      <c r="Q25" s="86"/>
    </row>
    <row r="26" spans="1:17" s="100" customFormat="1" ht="28" customHeight="1" thickBot="1" x14ac:dyDescent="0.2">
      <c r="A26" s="94"/>
      <c r="B26" s="389"/>
      <c r="C26" s="531" t="s">
        <v>283</v>
      </c>
      <c r="D26" s="532"/>
      <c r="E26" s="418" t="str">
        <f>$M$10</f>
        <v>USD$</v>
      </c>
      <c r="F26" s="545">
        <f>F22*$G$12*$M$12</f>
        <v>132.59953051901971</v>
      </c>
      <c r="G26" s="545"/>
      <c r="H26" s="546">
        <f>H22*$G$12*$M$12</f>
        <v>153.89976525950988</v>
      </c>
      <c r="I26" s="547"/>
      <c r="J26" s="548">
        <f>J22*$G$12*$M$12</f>
        <v>175.20000000000002</v>
      </c>
      <c r="K26" s="549"/>
      <c r="L26" s="550">
        <f t="shared" ref="L26" si="5">L22*$G$12*$M$12</f>
        <v>196.50023474049016</v>
      </c>
      <c r="M26" s="551"/>
      <c r="N26" s="539">
        <f t="shared" ref="N26" si="6">N22*$G$12*$M$12</f>
        <v>217.8004694809803</v>
      </c>
      <c r="O26" s="539"/>
      <c r="P26" s="390"/>
      <c r="Q26" s="94"/>
    </row>
    <row r="27" spans="1:17" ht="10" customHeight="1" x14ac:dyDescent="0.2">
      <c r="A27" s="86"/>
      <c r="B27" s="142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2"/>
      <c r="Q27" s="86"/>
    </row>
    <row r="28" spans="1:17" ht="28" customHeight="1" x14ac:dyDescent="0.2">
      <c r="A28" s="86"/>
      <c r="B28" s="142"/>
      <c r="C28" s="153"/>
      <c r="D28" s="153"/>
      <c r="E28" s="153"/>
      <c r="F28" s="161" t="s">
        <v>55</v>
      </c>
      <c r="G28" s="184"/>
      <c r="H28" s="185"/>
      <c r="I28" s="126" t="str">
        <f>$M$10</f>
        <v>USD$</v>
      </c>
      <c r="J28" s="473">
        <v>242.28</v>
      </c>
      <c r="K28" s="474"/>
      <c r="L28" s="153"/>
      <c r="M28" s="153"/>
      <c r="N28" s="153"/>
      <c r="O28" s="153"/>
      <c r="P28" s="152"/>
      <c r="Q28" s="86"/>
    </row>
    <row r="29" spans="1:17" ht="10" customHeight="1" thickBot="1" x14ac:dyDescent="0.25">
      <c r="A29" s="86"/>
      <c r="B29" s="14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2"/>
      <c r="Q29" s="86"/>
    </row>
    <row r="30" spans="1:17" s="100" customFormat="1" ht="28" customHeight="1" thickBot="1" x14ac:dyDescent="0.25">
      <c r="A30" s="94"/>
      <c r="B30" s="389"/>
      <c r="C30" s="153"/>
      <c r="D30" s="153"/>
      <c r="E30" s="153"/>
      <c r="F30" s="153"/>
      <c r="G30" s="153"/>
      <c r="H30" s="540" t="s">
        <v>127</v>
      </c>
      <c r="I30" s="541"/>
      <c r="J30" s="542">
        <f>$J$28/J26-1</f>
        <v>0.38287671232876708</v>
      </c>
      <c r="K30" s="543"/>
      <c r="L30" s="153"/>
      <c r="M30" s="153"/>
      <c r="N30" s="153"/>
      <c r="O30" s="153"/>
      <c r="P30" s="390"/>
      <c r="Q30" s="94"/>
    </row>
    <row r="31" spans="1:17" ht="17" customHeight="1" thickBot="1" x14ac:dyDescent="0.2">
      <c r="A31" s="86"/>
      <c r="B31" s="186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8"/>
      <c r="Q31" s="86"/>
    </row>
    <row r="32" spans="1:17" x14ac:dyDescent="0.15">
      <c r="A32" s="86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86"/>
    </row>
    <row r="33" spans="1:17" x14ac:dyDescent="0.15">
      <c r="A33" s="544"/>
      <c r="B33" s="544"/>
      <c r="C33" s="544"/>
      <c r="D33" s="544"/>
      <c r="E33" s="544"/>
      <c r="F33" s="544"/>
      <c r="G33" s="544"/>
      <c r="H33" s="544"/>
      <c r="I33" s="544"/>
      <c r="J33" s="94"/>
      <c r="K33" s="94"/>
      <c r="L33" s="94"/>
      <c r="M33" s="94"/>
      <c r="N33" s="94"/>
      <c r="O33" s="94"/>
      <c r="P33" s="94"/>
      <c r="Q33" s="94"/>
    </row>
    <row r="34" spans="1:17" x14ac:dyDescent="0.15">
      <c r="A34" s="544"/>
      <c r="B34" s="544"/>
      <c r="C34" s="544"/>
      <c r="D34" s="544"/>
      <c r="E34" s="544"/>
      <c r="F34" s="544"/>
      <c r="G34" s="544"/>
      <c r="H34" s="544"/>
      <c r="I34" s="544"/>
      <c r="J34" s="94"/>
      <c r="K34" s="94"/>
      <c r="L34" s="94"/>
      <c r="M34" s="94"/>
      <c r="N34" s="94"/>
      <c r="O34" s="94"/>
      <c r="P34" s="94"/>
      <c r="Q34" s="94"/>
    </row>
    <row r="35" spans="1:17" x14ac:dyDescent="0.15">
      <c r="A35" s="544"/>
      <c r="B35" s="544"/>
      <c r="C35" s="544"/>
      <c r="D35" s="544"/>
      <c r="E35" s="544"/>
      <c r="F35" s="544"/>
      <c r="G35" s="544"/>
      <c r="H35" s="544"/>
      <c r="I35" s="544"/>
      <c r="J35" s="94"/>
      <c r="K35" s="94"/>
      <c r="L35" s="94"/>
      <c r="M35" s="94"/>
      <c r="N35" s="94"/>
      <c r="O35" s="94"/>
      <c r="P35" s="94"/>
      <c r="Q35" s="94"/>
    </row>
    <row r="36" spans="1:17" x14ac:dyDescent="0.15">
      <c r="A36" s="544"/>
      <c r="B36" s="544"/>
      <c r="C36" s="544"/>
      <c r="D36" s="544"/>
      <c r="E36" s="544"/>
      <c r="F36" s="544"/>
      <c r="G36" s="544"/>
      <c r="H36" s="544"/>
      <c r="I36" s="544"/>
      <c r="J36" s="94"/>
      <c r="K36" s="426"/>
      <c r="L36" s="94"/>
      <c r="M36" s="368" t="str">
        <f ca="1">"© "&amp;YEAR(TODAY())&amp;" Piranha Ltd. All rights reserved."</f>
        <v>© 2026 Piranha Ltd. All rights reserved.</v>
      </c>
      <c r="N36" s="94"/>
      <c r="O36" s="94"/>
      <c r="P36" s="94"/>
      <c r="Q36" s="94"/>
    </row>
    <row r="37" spans="1:17" x14ac:dyDescent="0.15">
      <c r="A37" s="544"/>
      <c r="B37" s="544"/>
      <c r="C37" s="544"/>
      <c r="D37" s="544"/>
      <c r="E37" s="544"/>
      <c r="F37" s="544"/>
      <c r="G37" s="544"/>
      <c r="H37" s="544"/>
      <c r="I37" s="544"/>
      <c r="J37" s="94"/>
      <c r="K37" s="94"/>
      <c r="L37" s="94"/>
      <c r="M37" s="94"/>
      <c r="N37" s="94"/>
      <c r="O37" s="94"/>
      <c r="P37" s="94"/>
      <c r="Q37" s="94"/>
    </row>
    <row r="38" spans="1:17" x14ac:dyDescent="0.15">
      <c r="A38" s="544"/>
      <c r="B38" s="544"/>
      <c r="C38" s="544"/>
      <c r="D38" s="544"/>
      <c r="E38" s="544"/>
      <c r="F38" s="544"/>
      <c r="G38" s="544"/>
      <c r="H38" s="544"/>
      <c r="I38" s="544"/>
      <c r="J38" s="94"/>
      <c r="K38" s="94"/>
      <c r="L38" s="94"/>
      <c r="M38" s="94"/>
      <c r="N38" s="94"/>
      <c r="O38" s="94"/>
      <c r="P38" s="94"/>
      <c r="Q38" s="94"/>
    </row>
    <row r="39" spans="1:17" x14ac:dyDescent="0.15">
      <c r="A39" s="544"/>
      <c r="B39" s="544"/>
      <c r="C39" s="544"/>
      <c r="D39" s="544"/>
      <c r="E39" s="544"/>
      <c r="F39" s="544"/>
      <c r="G39" s="544"/>
      <c r="H39" s="544"/>
      <c r="I39" s="544"/>
      <c r="J39" s="94"/>
      <c r="K39" s="94"/>
      <c r="L39" s="94"/>
      <c r="M39" s="94"/>
      <c r="N39" s="94"/>
      <c r="O39" s="94"/>
      <c r="P39" s="94"/>
      <c r="Q39" s="94"/>
    </row>
  </sheetData>
  <sheetProtection formatCells="0" formatColumns="0" formatRows="0" insertColumns="0" insertRows="0" insertHyperlinks="0" deleteColumns="0" deleteRows="0" sort="0" autoFilter="0" pivotTables="0"/>
  <mergeCells count="41">
    <mergeCell ref="N26:O26"/>
    <mergeCell ref="J28:K28"/>
    <mergeCell ref="H30:I30"/>
    <mergeCell ref="J30:K30"/>
    <mergeCell ref="A33:I39"/>
    <mergeCell ref="C26:D26"/>
    <mergeCell ref="F26:G26"/>
    <mergeCell ref="H26:I26"/>
    <mergeCell ref="J26:K26"/>
    <mergeCell ref="L26:M26"/>
    <mergeCell ref="F25:G25"/>
    <mergeCell ref="H25:I25"/>
    <mergeCell ref="J25:K25"/>
    <mergeCell ref="L25:M25"/>
    <mergeCell ref="N25:O25"/>
    <mergeCell ref="N23:O23"/>
    <mergeCell ref="C22:D22"/>
    <mergeCell ref="F22:G22"/>
    <mergeCell ref="H22:I22"/>
    <mergeCell ref="J22:K22"/>
    <mergeCell ref="L22:M22"/>
    <mergeCell ref="N22:O22"/>
    <mergeCell ref="C23:D23"/>
    <mergeCell ref="F23:G23"/>
    <mergeCell ref="H23:I23"/>
    <mergeCell ref="J23:K23"/>
    <mergeCell ref="L23:M23"/>
    <mergeCell ref="F14:G14"/>
    <mergeCell ref="F19:H19"/>
    <mergeCell ref="M19:O19"/>
    <mergeCell ref="F21:G21"/>
    <mergeCell ref="H21:I21"/>
    <mergeCell ref="J21:K21"/>
    <mergeCell ref="L21:M21"/>
    <mergeCell ref="N21:O21"/>
    <mergeCell ref="G12:H12"/>
    <mergeCell ref="B2:P2"/>
    <mergeCell ref="F8:H8"/>
    <mergeCell ref="M8:N8"/>
    <mergeCell ref="F10:H10"/>
    <mergeCell ref="M10:N10"/>
  </mergeCells>
  <conditionalFormatting sqref="F16:J17">
    <cfRule type="expression" dxfId="11" priority="1">
      <formula>$F$14="5 years"</formula>
    </cfRule>
  </conditionalFormatting>
  <dataValidations count="1">
    <dataValidation type="list" allowBlank="1" showInputMessage="1" showErrorMessage="1" sqref="F14:G14" xr:uid="{64373D23-D0D0-0844-B00D-D326532F282C}">
      <formula1>"5 years,10 years"</formula1>
    </dataValidation>
  </dataValidations>
  <printOptions horizontalCentered="1" verticalCentered="1"/>
  <pageMargins left="0.25" right="0.25" top="0.75" bottom="0.5" header="0.5" footer="0.5"/>
  <pageSetup paperSize="9" orientation="portrait" horizontalDpi="4294967292" verticalDpi="4294967292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8E7B-1306-9C40-B788-83402D41F912}">
  <sheetPr>
    <tabColor rgb="FF485D73"/>
  </sheetPr>
  <dimension ref="A1:AP34"/>
  <sheetViews>
    <sheetView showGridLines="0" zoomScaleNormal="100" zoomScaleSheetLayoutView="394" workbookViewId="0">
      <selection activeCell="C16" sqref="C16"/>
    </sheetView>
  </sheetViews>
  <sheetFormatPr baseColWidth="10" defaultColWidth="8.6640625" defaultRowHeight="13" x14ac:dyDescent="0.15"/>
  <cols>
    <col min="1" max="1" width="1.1640625" style="97" customWidth="1"/>
    <col min="2" max="2" width="5.6640625" style="97" customWidth="1"/>
    <col min="3" max="15" width="13.6640625" style="97" customWidth="1"/>
    <col min="16" max="16" width="6.6640625" style="97" customWidth="1"/>
    <col min="17" max="17" width="1.1640625" style="97" customWidth="1"/>
    <col min="18" max="34" width="8.6640625" style="97"/>
    <col min="35" max="35" width="23.6640625" style="97" hidden="1" customWidth="1"/>
    <col min="36" max="36" width="26.6640625" style="97" hidden="1" customWidth="1"/>
    <col min="37" max="37" width="18.1640625" style="97" hidden="1" customWidth="1"/>
    <col min="38" max="38" width="33.6640625" style="97" hidden="1" customWidth="1"/>
    <col min="39" max="39" width="34.1640625" style="97" hidden="1" customWidth="1"/>
    <col min="40" max="40" width="28.33203125" style="97" hidden="1" customWidth="1"/>
    <col min="41" max="41" width="30.6640625" style="97" hidden="1" customWidth="1"/>
    <col min="42" max="42" width="35.6640625" style="97" hidden="1" customWidth="1"/>
    <col min="43" max="16384" width="8.6640625" style="97"/>
  </cols>
  <sheetData>
    <row r="1" spans="1:17" ht="7.5" customHeight="1" thickBot="1" x14ac:dyDescent="0.3">
      <c r="A1" s="86"/>
      <c r="B1" s="86"/>
      <c r="C1" s="87"/>
      <c r="D1" s="87"/>
      <c r="E1" s="87"/>
      <c r="F1" s="88"/>
      <c r="G1" s="88"/>
      <c r="H1" s="88"/>
      <c r="I1" s="88"/>
      <c r="J1" s="88"/>
      <c r="K1" s="88"/>
      <c r="L1" s="88"/>
      <c r="M1" s="88"/>
      <c r="N1" s="88"/>
      <c r="O1" s="88"/>
      <c r="P1" s="86"/>
      <c r="Q1" s="86"/>
    </row>
    <row r="2" spans="1:17" ht="41.25" customHeight="1" x14ac:dyDescent="0.25">
      <c r="A2" s="86"/>
      <c r="B2" s="512" t="s">
        <v>270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4"/>
      <c r="Q2" s="86"/>
    </row>
    <row r="3" spans="1:17" ht="25" customHeight="1" x14ac:dyDescent="0.25">
      <c r="A3" s="86"/>
      <c r="B3" s="395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7"/>
      <c r="Q3" s="86"/>
    </row>
    <row r="4" spans="1:17" ht="5.25" customHeight="1" thickBot="1" x14ac:dyDescent="0.2">
      <c r="A4" s="86"/>
      <c r="B4" s="89"/>
      <c r="C4" s="90"/>
      <c r="D4" s="90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  <c r="Q4" s="86"/>
    </row>
    <row r="5" spans="1:17" ht="11.25" customHeight="1" x14ac:dyDescent="0.15">
      <c r="A5" s="86"/>
      <c r="B5" s="142"/>
      <c r="C5" s="143"/>
      <c r="D5" s="143"/>
      <c r="E5" s="143"/>
      <c r="F5" s="144"/>
      <c r="G5" s="144"/>
      <c r="H5" s="144"/>
      <c r="I5" s="145"/>
      <c r="J5" s="145"/>
      <c r="K5" s="145"/>
      <c r="L5" s="145"/>
      <c r="M5" s="145"/>
      <c r="N5" s="145"/>
      <c r="O5" s="145"/>
      <c r="P5" s="146"/>
      <c r="Q5" s="86"/>
    </row>
    <row r="6" spans="1:17" ht="28" customHeight="1" x14ac:dyDescent="0.25">
      <c r="A6" s="86"/>
      <c r="B6" s="142"/>
      <c r="C6" s="147" t="s">
        <v>0</v>
      </c>
      <c r="D6" s="148"/>
      <c r="E6" s="148"/>
      <c r="F6" s="149"/>
      <c r="G6" s="149"/>
      <c r="H6" s="150"/>
      <c r="I6" s="151"/>
      <c r="J6" s="151"/>
      <c r="K6" s="151"/>
      <c r="L6" s="151"/>
      <c r="M6" s="151"/>
      <c r="N6" s="151"/>
      <c r="O6" s="151"/>
      <c r="P6" s="152"/>
      <c r="Q6" s="86"/>
    </row>
    <row r="7" spans="1:17" ht="8" customHeight="1" x14ac:dyDescent="0.2">
      <c r="A7" s="86"/>
      <c r="B7" s="142"/>
      <c r="C7" s="153"/>
      <c r="D7" s="153"/>
      <c r="E7" s="153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2"/>
      <c r="Q7" s="86"/>
    </row>
    <row r="8" spans="1:17" ht="28" customHeight="1" x14ac:dyDescent="0.15">
      <c r="A8" s="86"/>
      <c r="B8" s="142"/>
      <c r="C8" s="154" t="s">
        <v>37</v>
      </c>
      <c r="D8" s="155"/>
      <c r="E8" s="156"/>
      <c r="F8" s="446" t="s">
        <v>275</v>
      </c>
      <c r="G8" s="447"/>
      <c r="H8" s="448"/>
      <c r="I8" s="143"/>
      <c r="J8" s="130" t="s">
        <v>164</v>
      </c>
      <c r="K8" s="136"/>
      <c r="L8" s="137"/>
      <c r="M8" s="441" t="s">
        <v>11</v>
      </c>
      <c r="N8" s="442"/>
      <c r="O8" s="151"/>
      <c r="P8" s="152"/>
      <c r="Q8" s="86"/>
    </row>
    <row r="9" spans="1:17" ht="4" customHeight="1" x14ac:dyDescent="0.2">
      <c r="A9" s="86"/>
      <c r="B9" s="142"/>
      <c r="C9" s="153"/>
      <c r="D9" s="153"/>
      <c r="E9" s="153"/>
      <c r="F9" s="151"/>
      <c r="G9" s="151"/>
      <c r="H9" s="151"/>
      <c r="I9" s="151"/>
      <c r="J9" s="151"/>
      <c r="K9" s="151"/>
      <c r="L9" s="151"/>
      <c r="M9" s="160"/>
      <c r="N9" s="151"/>
      <c r="O9" s="151"/>
      <c r="P9" s="152"/>
      <c r="Q9" s="86"/>
    </row>
    <row r="10" spans="1:17" ht="28" customHeight="1" x14ac:dyDescent="0.15">
      <c r="A10" s="86"/>
      <c r="B10" s="142"/>
      <c r="C10" s="154" t="s">
        <v>38</v>
      </c>
      <c r="D10" s="155"/>
      <c r="E10" s="155"/>
      <c r="F10" s="459" t="s">
        <v>276</v>
      </c>
      <c r="G10" s="460"/>
      <c r="H10" s="461"/>
      <c r="I10" s="143"/>
      <c r="J10" s="125" t="s">
        <v>170</v>
      </c>
      <c r="K10" s="136"/>
      <c r="L10" s="137"/>
      <c r="M10" s="441" t="s">
        <v>11</v>
      </c>
      <c r="N10" s="442"/>
      <c r="O10" s="151"/>
      <c r="P10" s="152"/>
      <c r="Q10" s="86"/>
    </row>
    <row r="11" spans="1:17" ht="4" customHeight="1" x14ac:dyDescent="0.2">
      <c r="A11" s="86"/>
      <c r="B11" s="142"/>
      <c r="C11" s="153"/>
      <c r="D11" s="153"/>
      <c r="E11" s="153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86"/>
    </row>
    <row r="12" spans="1:17" ht="28" customHeight="1" x14ac:dyDescent="0.15">
      <c r="A12" s="86"/>
      <c r="B12" s="142"/>
      <c r="C12" s="151"/>
      <c r="D12" s="151"/>
      <c r="E12" s="151"/>
      <c r="F12" s="151"/>
      <c r="G12" s="151"/>
      <c r="H12" s="151"/>
      <c r="I12" s="151"/>
      <c r="J12" s="125" t="s">
        <v>165</v>
      </c>
      <c r="K12" s="136"/>
      <c r="L12" s="379" t="str">
        <f>"1 "&amp;M8&amp;" is equivalent to "</f>
        <v xml:space="preserve">1 USD$ is equivalent to </v>
      </c>
      <c r="M12" s="140">
        <v>1</v>
      </c>
      <c r="N12" s="135" t="str">
        <f>M10</f>
        <v>USD$</v>
      </c>
      <c r="O12" s="151"/>
      <c r="P12" s="152"/>
      <c r="Q12" s="86"/>
    </row>
    <row r="13" spans="1:17" ht="10" customHeight="1" x14ac:dyDescent="0.15">
      <c r="A13" s="86"/>
      <c r="B13" s="142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2"/>
      <c r="Q13" s="86"/>
    </row>
    <row r="14" spans="1:17" ht="28" customHeight="1" x14ac:dyDescent="0.15">
      <c r="A14" s="86"/>
      <c r="B14" s="142"/>
      <c r="C14" s="154" t="s">
        <v>271</v>
      </c>
      <c r="D14" s="155"/>
      <c r="E14" s="155"/>
      <c r="F14" s="126" t="str">
        <f>$M$8</f>
        <v>USD$</v>
      </c>
      <c r="G14" s="510">
        <v>1.27</v>
      </c>
      <c r="H14" s="511"/>
      <c r="I14" s="151"/>
      <c r="J14" s="154" t="s">
        <v>272</v>
      </c>
      <c r="K14" s="388"/>
      <c r="L14" s="387"/>
      <c r="M14" s="552">
        <f>N25/G14/(F16*100)</f>
        <v>2.1574142535184064</v>
      </c>
      <c r="N14" s="553"/>
      <c r="O14" s="554"/>
      <c r="P14" s="152"/>
      <c r="Q14" s="86"/>
    </row>
    <row r="15" spans="1:17" ht="4" customHeight="1" x14ac:dyDescent="0.2">
      <c r="A15" s="86"/>
      <c r="B15" s="142"/>
      <c r="C15" s="153"/>
      <c r="D15" s="153"/>
      <c r="E15" s="153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2"/>
      <c r="Q15" s="86"/>
    </row>
    <row r="16" spans="1:17" ht="28" customHeight="1" x14ac:dyDescent="0.15">
      <c r="A16" s="86"/>
      <c r="B16" s="142"/>
      <c r="C16" s="154" t="s">
        <v>294</v>
      </c>
      <c r="D16" s="155"/>
      <c r="E16" s="155"/>
      <c r="F16" s="443">
        <v>0.30990000000000001</v>
      </c>
      <c r="G16" s="444"/>
      <c r="H16" s="445"/>
      <c r="I16" s="151"/>
      <c r="J16" s="154" t="s">
        <v>273</v>
      </c>
      <c r="K16" s="388"/>
      <c r="L16" s="387"/>
      <c r="M16" s="552">
        <v>0.2</v>
      </c>
      <c r="N16" s="553"/>
      <c r="O16" s="554"/>
      <c r="P16" s="152"/>
      <c r="Q16" s="86"/>
    </row>
    <row r="17" spans="1:17" ht="10" customHeight="1" x14ac:dyDescent="0.2">
      <c r="A17" s="86"/>
      <c r="B17" s="142"/>
      <c r="C17" s="151"/>
      <c r="D17" s="151"/>
      <c r="E17" s="151"/>
      <c r="F17" s="151"/>
      <c r="G17" s="151"/>
      <c r="H17" s="151"/>
      <c r="I17" s="153"/>
      <c r="J17" s="153"/>
      <c r="K17" s="153"/>
      <c r="L17" s="153"/>
      <c r="M17" s="153"/>
      <c r="N17" s="153"/>
      <c r="O17" s="153"/>
      <c r="P17" s="152"/>
      <c r="Q17" s="86"/>
    </row>
    <row r="18" spans="1:17" ht="28" customHeight="1" x14ac:dyDescent="0.2">
      <c r="A18" s="86"/>
      <c r="B18" s="142"/>
      <c r="C18" s="151"/>
      <c r="D18" s="151"/>
      <c r="E18" s="151"/>
      <c r="F18" s="151"/>
      <c r="G18" s="151"/>
      <c r="H18" s="151"/>
      <c r="I18" s="153"/>
      <c r="J18" s="471" t="s">
        <v>281</v>
      </c>
      <c r="K18" s="472"/>
      <c r="L18" s="483"/>
      <c r="M18" s="372" t="str">
        <f>$M$8</f>
        <v>USD$</v>
      </c>
      <c r="N18" s="464">
        <f>M16*G14*F16*100</f>
        <v>7.8714600000000008</v>
      </c>
      <c r="O18" s="465"/>
      <c r="P18" s="152"/>
      <c r="Q18" s="86"/>
    </row>
    <row r="19" spans="1:17" ht="10" customHeight="1" thickBot="1" x14ac:dyDescent="0.25">
      <c r="A19" s="86"/>
      <c r="B19" s="142"/>
      <c r="C19" s="151"/>
      <c r="D19" s="151"/>
      <c r="E19" s="151"/>
      <c r="F19" s="151"/>
      <c r="G19" s="151"/>
      <c r="H19" s="151"/>
      <c r="I19" s="153"/>
      <c r="J19" s="151"/>
      <c r="K19" s="151"/>
      <c r="L19" s="151"/>
      <c r="M19" s="180"/>
      <c r="N19" s="151"/>
      <c r="O19" s="151"/>
      <c r="P19" s="152"/>
      <c r="Q19" s="86"/>
    </row>
    <row r="20" spans="1:17" ht="28" customHeight="1" thickBot="1" x14ac:dyDescent="0.25">
      <c r="A20" s="86"/>
      <c r="B20" s="142"/>
      <c r="C20" s="151"/>
      <c r="D20" s="151"/>
      <c r="E20" s="151"/>
      <c r="F20" s="151"/>
      <c r="G20" s="151"/>
      <c r="H20" s="151"/>
      <c r="I20" s="153"/>
      <c r="J20" s="471" t="s">
        <v>282</v>
      </c>
      <c r="K20" s="472"/>
      <c r="L20" s="472"/>
      <c r="M20" s="127" t="str">
        <f>$M$10</f>
        <v>USD$</v>
      </c>
      <c r="N20" s="475">
        <f>N18*M12</f>
        <v>7.8714600000000008</v>
      </c>
      <c r="O20" s="476"/>
      <c r="P20" s="152"/>
      <c r="Q20" s="86"/>
    </row>
    <row r="21" spans="1:17" ht="4" customHeight="1" thickBot="1" x14ac:dyDescent="0.25">
      <c r="A21" s="86"/>
      <c r="B21" s="142"/>
      <c r="C21" s="151"/>
      <c r="D21" s="151"/>
      <c r="E21" s="151"/>
      <c r="F21" s="151"/>
      <c r="G21" s="151"/>
      <c r="H21" s="151"/>
      <c r="I21" s="153"/>
      <c r="J21" s="153"/>
      <c r="K21" s="153"/>
      <c r="L21" s="153"/>
      <c r="M21" s="153"/>
      <c r="N21" s="153"/>
      <c r="O21" s="153"/>
      <c r="P21" s="152"/>
      <c r="Q21" s="86"/>
    </row>
    <row r="22" spans="1:17" ht="28" customHeight="1" thickBot="1" x14ac:dyDescent="0.25">
      <c r="A22" s="86"/>
      <c r="B22" s="142"/>
      <c r="C22" s="151"/>
      <c r="D22" s="151"/>
      <c r="E22" s="151"/>
      <c r="F22" s="151"/>
      <c r="G22" s="151"/>
      <c r="H22" s="151"/>
      <c r="I22" s="153"/>
      <c r="J22" s="125" t="s">
        <v>127</v>
      </c>
      <c r="K22" s="128"/>
      <c r="L22" s="128"/>
      <c r="M22" s="477">
        <f>N25/N20-1</f>
        <v>9.7870712675920331</v>
      </c>
      <c r="N22" s="478"/>
      <c r="O22" s="479"/>
      <c r="P22" s="152"/>
      <c r="Q22" s="86"/>
    </row>
    <row r="23" spans="1:17" ht="4" customHeight="1" x14ac:dyDescent="0.2">
      <c r="A23" s="86"/>
      <c r="B23" s="142"/>
      <c r="C23" s="151"/>
      <c r="D23" s="151"/>
      <c r="E23" s="151"/>
      <c r="F23" s="151"/>
      <c r="G23" s="151"/>
      <c r="H23" s="151"/>
      <c r="I23" s="153"/>
      <c r="J23" s="153"/>
      <c r="K23" s="153"/>
      <c r="L23" s="153"/>
      <c r="M23" s="153"/>
      <c r="N23" s="153"/>
      <c r="O23" s="153"/>
      <c r="P23" s="152"/>
      <c r="Q23" s="86"/>
    </row>
    <row r="24" spans="1:17" ht="10" customHeight="1" x14ac:dyDescent="0.2">
      <c r="A24" s="86"/>
      <c r="B24" s="14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2"/>
      <c r="Q24" s="86"/>
    </row>
    <row r="25" spans="1:17" ht="28" customHeight="1" x14ac:dyDescent="0.2">
      <c r="A25" s="86"/>
      <c r="B25" s="142"/>
      <c r="C25" s="153"/>
      <c r="D25" s="153"/>
      <c r="E25" s="153"/>
      <c r="F25" s="153"/>
      <c r="G25" s="153"/>
      <c r="H25" s="153"/>
      <c r="I25" s="153"/>
      <c r="J25" s="161" t="s">
        <v>55</v>
      </c>
      <c r="K25" s="184"/>
      <c r="L25" s="185"/>
      <c r="M25" s="126" t="str">
        <f>$M$10</f>
        <v>USD$</v>
      </c>
      <c r="N25" s="473">
        <v>84.91</v>
      </c>
      <c r="O25" s="474"/>
      <c r="P25" s="152"/>
      <c r="Q25" s="86"/>
    </row>
    <row r="26" spans="1:17" ht="17" customHeight="1" thickBot="1" x14ac:dyDescent="0.2">
      <c r="A26" s="86"/>
      <c r="B26" s="186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8"/>
      <c r="Q26" s="86"/>
    </row>
    <row r="27" spans="1:17" x14ac:dyDescent="0.15">
      <c r="A27" s="86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86"/>
    </row>
    <row r="28" spans="1:17" x14ac:dyDescent="0.15">
      <c r="A28" s="354"/>
      <c r="B28" s="354"/>
      <c r="C28" s="354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</row>
    <row r="29" spans="1:17" x14ac:dyDescent="0.15">
      <c r="A29" s="354"/>
      <c r="B29" s="354"/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</row>
    <row r="30" spans="1:17" x14ac:dyDescent="0.15">
      <c r="A30" s="354"/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</row>
    <row r="31" spans="1:17" x14ac:dyDescent="0.15">
      <c r="A31" s="354"/>
      <c r="B31" s="354"/>
      <c r="C31" s="354"/>
      <c r="D31" s="354"/>
      <c r="E31" s="354"/>
      <c r="F31" s="354"/>
      <c r="G31" s="354"/>
      <c r="H31" s="354"/>
      <c r="I31" s="354"/>
      <c r="J31" s="354"/>
      <c r="K31" s="368"/>
      <c r="L31" s="354"/>
      <c r="M31" s="368" t="str">
        <f ca="1">"© "&amp;YEAR(TODAY())&amp;" Piranha Ltd. All rights reserved."</f>
        <v>© 2026 Piranha Ltd. All rights reserved.</v>
      </c>
      <c r="N31" s="354"/>
      <c r="O31" s="354"/>
      <c r="P31" s="354"/>
      <c r="Q31" s="354"/>
    </row>
    <row r="32" spans="1:17" x14ac:dyDescent="0.15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</row>
    <row r="33" spans="1:17" x14ac:dyDescent="0.15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</row>
    <row r="34" spans="1:17" x14ac:dyDescent="0.15">
      <c r="A34" s="354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</row>
  </sheetData>
  <sheetProtection formatCells="0" formatColumns="0" formatRows="0" insertColumns="0" insertRows="0" insertHyperlinks="0" deleteColumns="0" deleteRows="0" sort="0" autoFilter="0" pivotTables="0"/>
  <mergeCells count="15">
    <mergeCell ref="N25:O25"/>
    <mergeCell ref="N18:O18"/>
    <mergeCell ref="N20:O20"/>
    <mergeCell ref="B2:P2"/>
    <mergeCell ref="F8:H8"/>
    <mergeCell ref="M8:N8"/>
    <mergeCell ref="F10:H10"/>
    <mergeCell ref="M10:N10"/>
    <mergeCell ref="G14:H14"/>
    <mergeCell ref="M22:O22"/>
    <mergeCell ref="M14:O14"/>
    <mergeCell ref="F16:H16"/>
    <mergeCell ref="J18:L18"/>
    <mergeCell ref="J20:L20"/>
    <mergeCell ref="M16:O16"/>
  </mergeCells>
  <printOptions horizontalCentered="1" verticalCentered="1"/>
  <pageMargins left="0.25" right="0.25" top="0.75" bottom="0.5" header="0.5" footer="0.5"/>
  <pageSetup paperSize="9" orientation="portrait" horizontalDpi="4294967292" verticalDpi="4294967292" r:id="rId1"/>
  <headerFooter alignWithMargins="0"/>
  <ignoredErrors>
    <ignoredError sqref="M14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013B615-F39B-6646-BBC6-1CABBED5DACA}">
          <x14:formula1>
            <xm:f>'Currency Data'!$C$7:$C$49</xm:f>
          </x14:formula1>
          <xm:sqref>M8:N8 M10:N10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4996-551D-49D9-B123-C8F67CD518FE}">
  <sheetPr>
    <tabColor rgb="FF485D73"/>
  </sheetPr>
  <dimension ref="B1:Y303"/>
  <sheetViews>
    <sheetView zoomScaleNormal="100" workbookViewId="0"/>
  </sheetViews>
  <sheetFormatPr baseColWidth="10" defaultColWidth="15.83203125" defaultRowHeight="16" outlineLevelRow="1" outlineLevelCol="1" x14ac:dyDescent="0.2"/>
  <cols>
    <col min="1" max="1" width="3.1640625" style="66" customWidth="1"/>
    <col min="2" max="4" width="20" style="66" customWidth="1"/>
    <col min="5" max="5" width="20" style="48" customWidth="1"/>
    <col min="6" max="6" width="5.1640625" style="66" customWidth="1"/>
    <col min="7" max="10" width="20" style="66" customWidth="1" outlineLevel="1"/>
    <col min="11" max="11" width="5.1640625" style="66" customWidth="1"/>
    <col min="12" max="15" width="20" style="66" customWidth="1" outlineLevel="1"/>
    <col min="16" max="16" width="5.1640625" style="66" customWidth="1"/>
    <col min="17" max="20" width="20" style="66" customWidth="1" outlineLevel="1"/>
    <col min="21" max="21" width="5.1640625" style="66" customWidth="1"/>
    <col min="22" max="25" width="20" style="66" customWidth="1" outlineLevel="1"/>
    <col min="26" max="26" width="5.1640625" style="66" customWidth="1"/>
    <col min="27" max="16384" width="15.83203125" style="66"/>
  </cols>
  <sheetData>
    <row r="1" spans="2:24" ht="7.5" customHeight="1" x14ac:dyDescent="0.2"/>
    <row r="2" spans="2:24" ht="25" x14ac:dyDescent="0.25">
      <c r="B2" s="359" t="s">
        <v>206</v>
      </c>
      <c r="C2" s="65"/>
      <c r="I2" s="58"/>
      <c r="J2" s="58"/>
      <c r="K2" s="59"/>
      <c r="L2" s="75"/>
      <c r="M2" s="57"/>
      <c r="N2" s="56"/>
      <c r="Q2" s="75"/>
      <c r="R2" s="57"/>
      <c r="S2" s="56"/>
      <c r="V2" s="75"/>
      <c r="W2" s="57"/>
      <c r="X2" s="56"/>
    </row>
    <row r="3" spans="2:24" ht="21" x14ac:dyDescent="0.25">
      <c r="B3" s="555" t="s">
        <v>193</v>
      </c>
      <c r="C3" s="555"/>
      <c r="D3" s="555"/>
      <c r="E3" s="555"/>
      <c r="F3" s="82"/>
      <c r="G3" s="82"/>
      <c r="H3" s="82"/>
      <c r="I3" s="82"/>
      <c r="J3" s="82"/>
      <c r="N3" s="56"/>
      <c r="S3" s="56"/>
      <c r="X3" s="56"/>
    </row>
    <row r="5" spans="2:24" s="60" customFormat="1" ht="26" customHeight="1" x14ac:dyDescent="0.3">
      <c r="B5" s="81" t="s">
        <v>73</v>
      </c>
      <c r="E5" s="63"/>
    </row>
    <row r="6" spans="2:24" outlineLevel="1" x14ac:dyDescent="0.2"/>
    <row r="7" spans="2:24" outlineLevel="1" x14ac:dyDescent="0.2"/>
    <row r="8" spans="2:24" outlineLevel="1" x14ac:dyDescent="0.2"/>
    <row r="9" spans="2:24" outlineLevel="1" x14ac:dyDescent="0.2"/>
    <row r="10" spans="2:24" outlineLevel="1" x14ac:dyDescent="0.2"/>
    <row r="11" spans="2:24" outlineLevel="1" x14ac:dyDescent="0.2"/>
    <row r="12" spans="2:24" outlineLevel="1" x14ac:dyDescent="0.2"/>
    <row r="13" spans="2:24" outlineLevel="1" x14ac:dyDescent="0.2"/>
    <row r="14" spans="2:24" outlineLevel="1" x14ac:dyDescent="0.2"/>
    <row r="15" spans="2:24" outlineLevel="1" x14ac:dyDescent="0.2"/>
    <row r="16" spans="2:24" outlineLevel="1" x14ac:dyDescent="0.2"/>
    <row r="17" outlineLevel="1" x14ac:dyDescent="0.2"/>
    <row r="18" outlineLevel="1" x14ac:dyDescent="0.2"/>
    <row r="19" outlineLevel="1" x14ac:dyDescent="0.2"/>
    <row r="20" outlineLevel="1" x14ac:dyDescent="0.2"/>
    <row r="21" outlineLevel="1" x14ac:dyDescent="0.2"/>
    <row r="22" outlineLevel="1" x14ac:dyDescent="0.2"/>
    <row r="23" outlineLevel="1" x14ac:dyDescent="0.2"/>
    <row r="24" outlineLevel="1" x14ac:dyDescent="0.2"/>
    <row r="25" outlineLevel="1" x14ac:dyDescent="0.2"/>
    <row r="26" outlineLevel="1" x14ac:dyDescent="0.2"/>
    <row r="27" outlineLevel="1" x14ac:dyDescent="0.2"/>
    <row r="28" outlineLevel="1" x14ac:dyDescent="0.2"/>
    <row r="29" outlineLevel="1" x14ac:dyDescent="0.2"/>
    <row r="30" outlineLevel="1" x14ac:dyDescent="0.2"/>
    <row r="31" outlineLevel="1" x14ac:dyDescent="0.2"/>
    <row r="32" outlineLevel="1" x14ac:dyDescent="0.2"/>
    <row r="33" spans="2:25" outlineLevel="1" x14ac:dyDescent="0.2"/>
    <row r="34" spans="2:25" outlineLevel="1" x14ac:dyDescent="0.2"/>
    <row r="35" spans="2:25" outlineLevel="1" x14ac:dyDescent="0.2"/>
    <row r="36" spans="2:25" outlineLevel="1" x14ac:dyDescent="0.2"/>
    <row r="37" spans="2:25" outlineLevel="1" x14ac:dyDescent="0.2"/>
    <row r="38" spans="2:25" outlineLevel="1" x14ac:dyDescent="0.2"/>
    <row r="39" spans="2:25" outlineLevel="1" x14ac:dyDescent="0.2"/>
    <row r="40" spans="2:25" outlineLevel="1" x14ac:dyDescent="0.2"/>
    <row r="41" spans="2:25" outlineLevel="1" x14ac:dyDescent="0.2"/>
    <row r="42" spans="2:25" outlineLevel="1" x14ac:dyDescent="0.2"/>
    <row r="45" spans="2:25" s="60" customFormat="1" ht="26" customHeight="1" x14ac:dyDescent="0.3">
      <c r="B45" s="81" t="s">
        <v>72</v>
      </c>
      <c r="C45" s="54"/>
      <c r="E45" s="63"/>
      <c r="I45" s="62"/>
      <c r="J45" s="62"/>
      <c r="N45" s="61"/>
      <c r="S45" s="61"/>
      <c r="X45" s="61"/>
    </row>
    <row r="46" spans="2:25" s="78" customFormat="1" ht="26" customHeight="1" outlineLevel="1" x14ac:dyDescent="0.15">
      <c r="B46" s="80" t="s">
        <v>53</v>
      </c>
      <c r="C46" s="80"/>
      <c r="E46" s="79"/>
      <c r="G46" s="80" t="s">
        <v>57</v>
      </c>
      <c r="J46" s="79"/>
      <c r="L46" s="80" t="s">
        <v>191</v>
      </c>
      <c r="O46" s="79"/>
      <c r="Q46" s="80" t="s">
        <v>56</v>
      </c>
      <c r="T46" s="79"/>
      <c r="V46" s="80" t="s">
        <v>262</v>
      </c>
      <c r="Y46" s="79"/>
    </row>
    <row r="47" spans="2:25" s="77" customFormat="1" ht="35.25" customHeight="1" outlineLevel="1" x14ac:dyDescent="0.15">
      <c r="B47" s="73" t="s">
        <v>49</v>
      </c>
      <c r="C47" s="73" t="s">
        <v>60</v>
      </c>
      <c r="D47" s="73" t="s">
        <v>59</v>
      </c>
      <c r="E47" s="72" t="s">
        <v>58</v>
      </c>
      <c r="G47" s="73" t="s">
        <v>49</v>
      </c>
      <c r="H47" s="73" t="s">
        <v>60</v>
      </c>
      <c r="I47" s="73" t="s">
        <v>59</v>
      </c>
      <c r="J47" s="72" t="s">
        <v>58</v>
      </c>
      <c r="L47" s="73" t="s">
        <v>49</v>
      </c>
      <c r="M47" s="73" t="s">
        <v>60</v>
      </c>
      <c r="N47" s="73" t="s">
        <v>59</v>
      </c>
      <c r="O47" s="72" t="s">
        <v>58</v>
      </c>
      <c r="Q47" s="73" t="s">
        <v>49</v>
      </c>
      <c r="R47" s="73" t="s">
        <v>60</v>
      </c>
      <c r="S47" s="73" t="s">
        <v>59</v>
      </c>
      <c r="T47" s="72" t="s">
        <v>58</v>
      </c>
      <c r="V47" s="73" t="s">
        <v>49</v>
      </c>
      <c r="W47" s="73" t="s">
        <v>60</v>
      </c>
      <c r="X47" s="73" t="s">
        <v>59</v>
      </c>
      <c r="Y47" s="72" t="s">
        <v>58</v>
      </c>
    </row>
    <row r="48" spans="2:25" s="76" customFormat="1" ht="35.25" customHeight="1" outlineLevel="1" x14ac:dyDescent="0.15">
      <c r="B48" s="53" t="s">
        <v>50</v>
      </c>
      <c r="C48" s="52">
        <f>COUNTIFS(_TrackerTable35[Type],_USDashboardTable561031[[#This Row],[Type]])</f>
        <v>1</v>
      </c>
      <c r="D48" s="51">
        <f>SUMIFS(_TrackerTable35[Market Value
(in USD)],_TrackerTable35[Type],_USDashboardTable561031[[#This Row],[Type]])</f>
        <v>2948.1481481481478</v>
      </c>
      <c r="E48" s="50">
        <f>IF(_USDashboardTable561031[[#Totals],[Market Value (in USD)]]&gt;0,_USDashboardTable561031[[#This Row],[Market Value (in USD)]]/_USDashboardTable561031[[#Totals],[Market Value (in USD)]],0)</f>
        <v>5.5498547633025509E-2</v>
      </c>
      <c r="G48" s="53" t="s">
        <v>50</v>
      </c>
      <c r="H48" s="52">
        <f>COUNTIFS(_TrackerTable35[Country],G$46,_TrackerTable35[Type],_USDashboardTable429[[#This Row],[Type]])</f>
        <v>0</v>
      </c>
      <c r="I48" s="51">
        <f>SUMIFS(_TrackerTable35[Market Value
(in USD)],_TrackerTable35[Country],G$46,_TrackerTable35[Type],_USDashboardTable429[[#This Row],[Type]])</f>
        <v>0</v>
      </c>
      <c r="J48" s="50">
        <f>IF(_USDashboardTable429[[#Totals],[Market Value (in USD)]]&gt;0,_USDashboardTable429[[#This Row],[Market Value (in USD)]]/_USDashboardTable429[[#Totals],[Market Value (in USD)]],0)</f>
        <v>0</v>
      </c>
      <c r="L48" s="53" t="s">
        <v>50</v>
      </c>
      <c r="M48" s="52">
        <f>COUNTIFS(_TrackerTable35[Country],L$46,_TrackerTable35[Type],_USDashboardTable5930[[#This Row],[Type]])</f>
        <v>0</v>
      </c>
      <c r="N48" s="51">
        <f>SUMIFS(_TrackerTable35[Market Value
(in USD)],_TrackerTable35[Country],L$46,_TrackerTable35[Type],_USDashboardTable5930[[#This Row],[Type]])</f>
        <v>0</v>
      </c>
      <c r="O48" s="50">
        <f>IF(_USDashboardTable5930[[#Totals],[Market Value (in USD)]]&gt;0,_USDashboardTable5930[[#This Row],[Market Value (in USD)]]/_USDashboardTable5930[[#Totals],[Market Value (in USD)]],0)</f>
        <v>0</v>
      </c>
      <c r="Q48" s="53" t="s">
        <v>50</v>
      </c>
      <c r="R48" s="52">
        <f>COUNTIFS(_TrackerTable35[Country],Q$46,_TrackerTable35[Type],_USDashboardTable571132[[#This Row],[Type]])</f>
        <v>1</v>
      </c>
      <c r="S48" s="51">
        <f>SUMIFS(_TrackerTable35[Market Value
(in USD)],_TrackerTable35[Country],Q$46,_TrackerTable35[Type],_USDashboardTable571132[[#This Row],[Type]])</f>
        <v>2948.1481481481478</v>
      </c>
      <c r="T48" s="50">
        <f>IF(_USDashboardTable571132[[#Totals],[Market Value (in USD)]]&gt;0,_USDashboardTable571132[[#This Row],[Market Value (in USD)]]/_USDashboardTable571132[[#Totals],[Market Value (in USD)]],0)</f>
        <v>1</v>
      </c>
      <c r="V48" s="53" t="s">
        <v>50</v>
      </c>
      <c r="W48" s="52">
        <f>COUNTIFS(_TrackerTable35[Country],V$46,_TrackerTable35[Type],_USDashboardTable57111534[[#This Row],[Type]])</f>
        <v>0</v>
      </c>
      <c r="X48" s="51">
        <f>SUMIFS(_TrackerTable35[Market Value
(in USD)],_TrackerTable35[Country],V$46,_TrackerTable35[Type],_USDashboardTable57111534[[#This Row],[Type]])</f>
        <v>0</v>
      </c>
      <c r="Y48" s="50">
        <f>IF(_USDashboardTable57111534[[#Totals],[Market Value (in USD)]]&gt;0,_USDashboardTable57111534[[#This Row],[Market Value (in USD)]]/_USDashboardTable57111534[[#Totals],[Market Value (in USD)]],0)</f>
        <v>0</v>
      </c>
    </row>
    <row r="49" spans="2:25" s="76" customFormat="1" ht="35.25" customHeight="1" outlineLevel="1" x14ac:dyDescent="0.15">
      <c r="B49" s="53" t="s">
        <v>71</v>
      </c>
      <c r="C49" s="52">
        <f>COUNTIFS(_TrackerTable35[Type],_USDashboardTable561031[[#This Row],[Type]])</f>
        <v>2</v>
      </c>
      <c r="D49" s="51">
        <f>SUMIFS(_TrackerTable35[Market Value
(in USD)],_TrackerTable35[Type],_USDashboardTable561031[[#This Row],[Type]])</f>
        <v>12776.42</v>
      </c>
      <c r="E49" s="50">
        <f>IF(_USDashboardTable561031[[#Totals],[Market Value (in USD)]]&gt;0,_USDashboardTable561031[[#This Row],[Market Value (in USD)]]/_USDashboardTable561031[[#Totals],[Market Value (in USD)]],0)</f>
        <v>0.24051462759594944</v>
      </c>
      <c r="G49" s="53" t="s">
        <v>71</v>
      </c>
      <c r="H49" s="52">
        <f>COUNTIFS(_TrackerTable35[Country],G$46,_TrackerTable35[Type],_USDashboardTable429[[#This Row],[Type]])</f>
        <v>2</v>
      </c>
      <c r="I49" s="51">
        <f>SUMIFS(_TrackerTable35[Market Value
(in USD)],_TrackerTable35[Country],G$46,_TrackerTable35[Type],_USDashboardTable429[[#This Row],[Type]])</f>
        <v>12776.42</v>
      </c>
      <c r="J49" s="50">
        <f>IF(_USDashboardTable429[[#Totals],[Market Value (in USD)]]&gt;0,_USDashboardTable429[[#This Row],[Market Value (in USD)]]/_USDashboardTable429[[#Totals],[Market Value (in USD)]],0)</f>
        <v>0.37499970649078024</v>
      </c>
      <c r="L49" s="53" t="s">
        <v>71</v>
      </c>
      <c r="M49" s="52">
        <f>COUNTIFS(_TrackerTable35[Country],L$46,_TrackerTable35[Type],_USDashboardTable5930[[#This Row],[Type]])</f>
        <v>0</v>
      </c>
      <c r="N49" s="51">
        <f>SUMIFS(_TrackerTable35[Market Value
(in USD)],_TrackerTable35[Country],L$46,_TrackerTable35[Type],_USDashboardTable5930[[#This Row],[Type]])</f>
        <v>0</v>
      </c>
      <c r="O49" s="50">
        <f>IF(_USDashboardTable5930[[#Totals],[Market Value (in USD)]]&gt;0,_USDashboardTable5930[[#This Row],[Market Value (in USD)]]/_USDashboardTable5930[[#Totals],[Market Value (in USD)]],0)</f>
        <v>0</v>
      </c>
      <c r="Q49" s="53" t="s">
        <v>71</v>
      </c>
      <c r="R49" s="52">
        <f>COUNTIFS(_TrackerTable35[Country],Q$46,_TrackerTable35[Type],_USDashboardTable571132[[#This Row],[Type]])</f>
        <v>0</v>
      </c>
      <c r="S49" s="51">
        <f>SUMIFS(_TrackerTable35[Market Value
(in USD)],_TrackerTable35[Country],Q$46,_TrackerTable35[Type],_USDashboardTable571132[[#This Row],[Type]])</f>
        <v>0</v>
      </c>
      <c r="T49" s="50">
        <f>IF(_USDashboardTable571132[[#Totals],[Market Value (in USD)]]&gt;0,_USDashboardTable571132[[#This Row],[Market Value (in USD)]]/_USDashboardTable571132[[#Totals],[Market Value (in USD)]],0)</f>
        <v>0</v>
      </c>
      <c r="V49" s="53" t="s">
        <v>71</v>
      </c>
      <c r="W49" s="52">
        <f>COUNTIFS(_TrackerTable35[Country],V$46,_TrackerTable35[Type],_USDashboardTable57111534[[#This Row],[Type]])</f>
        <v>0</v>
      </c>
      <c r="X49" s="51">
        <f>SUMIFS(_TrackerTable35[Market Value
(in USD)],_TrackerTable35[Country],V$46,_TrackerTable35[Type],_USDashboardTable57111534[[#This Row],[Type]])</f>
        <v>0</v>
      </c>
      <c r="Y49" s="50">
        <f>IF(_USDashboardTable57111534[[#Totals],[Market Value (in USD)]]&gt;0,_USDashboardTable57111534[[#This Row],[Market Value (in USD)]]/_USDashboardTable57111534[[#Totals],[Market Value (in USD)]],0)</f>
        <v>0</v>
      </c>
    </row>
    <row r="50" spans="2:25" s="76" customFormat="1" ht="35.25" customHeight="1" outlineLevel="1" x14ac:dyDescent="0.15">
      <c r="B50" s="64" t="s">
        <v>70</v>
      </c>
      <c r="C50" s="52">
        <f>COUNTIFS(_TrackerTable35[Type],_USDashboardTable561031[[#This Row],[Type]])</f>
        <v>6</v>
      </c>
      <c r="D50" s="51">
        <f>SUMIFS(_TrackerTable35[Market Value
(in USD)],_TrackerTable35[Type],_USDashboardTable561031[[#This Row],[Type]])</f>
        <v>37396.608421052631</v>
      </c>
      <c r="E50" s="50">
        <f>IF(_USDashboardTable561031[[#Totals],[Market Value (in USD)]]&gt;0,_USDashboardTable561031[[#This Row],[Market Value (in USD)]]/_USDashboardTable561031[[#Totals],[Market Value (in USD)]],0)</f>
        <v>0.70398682477102514</v>
      </c>
      <c r="G50" s="64" t="s">
        <v>70</v>
      </c>
      <c r="H50" s="52">
        <f>COUNTIFS(_TrackerTable35[Country],G$46,_TrackerTable35[Type],_USDashboardTable429[[#This Row],[Type]])</f>
        <v>3</v>
      </c>
      <c r="I50" s="51">
        <f>SUMIFS(_TrackerTable35[Market Value
(in USD)],_TrackerTable35[Country],G$46,_TrackerTable35[Type],_USDashboardTable429[[#This Row],[Type]])</f>
        <v>21294.06</v>
      </c>
      <c r="J50" s="50">
        <f>IF(_USDashboardTable429[[#Totals],[Market Value (in USD)]]&gt;0,_USDashboardTable429[[#This Row],[Market Value (in USD)]]/_USDashboardTable429[[#Totals],[Market Value (in USD)]],0)</f>
        <v>0.62500029350921971</v>
      </c>
      <c r="L50" s="64" t="s">
        <v>70</v>
      </c>
      <c r="M50" s="52">
        <f>COUNTIFS(_TrackerTable35[Country],L$46,_TrackerTable35[Type],_USDashboardTable5930[[#This Row],[Type]])</f>
        <v>3</v>
      </c>
      <c r="N50" s="51">
        <f>SUMIFS(_TrackerTable35[Market Value
(in USD)],_TrackerTable35[Country],L$46,_TrackerTable35[Type],_USDashboardTable5930[[#This Row],[Type]])</f>
        <v>16102.54842105263</v>
      </c>
      <c r="O50" s="50">
        <f>IF(_USDashboardTable5930[[#Totals],[Market Value (in USD)]]&gt;0,_USDashboardTable5930[[#This Row],[Market Value (in USD)]]/_USDashboardTable5930[[#Totals],[Market Value (in USD)]],0)</f>
        <v>1</v>
      </c>
      <c r="Q50" s="64" t="s">
        <v>70</v>
      </c>
      <c r="R50" s="52">
        <f>COUNTIFS(_TrackerTable35[Country],Q$46,_TrackerTable35[Type],_USDashboardTable571132[[#This Row],[Type]])</f>
        <v>0</v>
      </c>
      <c r="S50" s="51">
        <f>SUMIFS(_TrackerTable35[Market Value
(in USD)],_TrackerTable35[Country],Q$46,_TrackerTable35[Type],_USDashboardTable571132[[#This Row],[Type]])</f>
        <v>0</v>
      </c>
      <c r="T50" s="50">
        <f>IF(_USDashboardTable571132[[#Totals],[Market Value (in USD)]]&gt;0,_USDashboardTable571132[[#This Row],[Market Value (in USD)]]/_USDashboardTable571132[[#Totals],[Market Value (in USD)]],0)</f>
        <v>0</v>
      </c>
      <c r="V50" s="64" t="s">
        <v>70</v>
      </c>
      <c r="W50" s="52">
        <f>COUNTIFS(_TrackerTable35[Country],V$46,_TrackerTable35[Type],_USDashboardTable57111534[[#This Row],[Type]])</f>
        <v>0</v>
      </c>
      <c r="X50" s="51">
        <f>SUMIFS(_TrackerTable35[Market Value
(in USD)],_TrackerTable35[Country],V$46,_TrackerTable35[Type],_USDashboardTable57111534[[#This Row],[Type]])</f>
        <v>0</v>
      </c>
      <c r="Y50" s="50">
        <f>IF(_USDashboardTable57111534[[#Totals],[Market Value (in USD)]]&gt;0,_USDashboardTable57111534[[#This Row],[Market Value (in USD)]]/_USDashboardTable57111534[[#Totals],[Market Value (in USD)]],0)</f>
        <v>0</v>
      </c>
    </row>
    <row r="51" spans="2:25" s="76" customFormat="1" ht="35.25" customHeight="1" outlineLevel="1" x14ac:dyDescent="0.15">
      <c r="B51" s="49" t="s">
        <v>53</v>
      </c>
      <c r="C51" s="49">
        <f>SUBTOTAL(109,_USDashboardTable561031[Count])</f>
        <v>9</v>
      </c>
      <c r="D51" s="71">
        <f>SUBTOTAL(109,_USDashboardTable561031[Market Value (in USD)])</f>
        <v>53121.176569200776</v>
      </c>
      <c r="E51" s="70">
        <f>SUBTOTAL(109,_USDashboardTable561031[Percentage by Market Value])</f>
        <v>1</v>
      </c>
      <c r="G51" s="49" t="s">
        <v>53</v>
      </c>
      <c r="H51" s="49">
        <f>SUBTOTAL(109,_USDashboardTable429[Count])</f>
        <v>5</v>
      </c>
      <c r="I51" s="71">
        <f>SUBTOTAL(109,_USDashboardTable429[Market Value (in USD)])</f>
        <v>34070.480000000003</v>
      </c>
      <c r="J51" s="70">
        <f>SUBTOTAL(109,_USDashboardTable429[Percentage by Market Value])</f>
        <v>1</v>
      </c>
      <c r="L51" s="49" t="s">
        <v>53</v>
      </c>
      <c r="M51" s="49">
        <f>SUBTOTAL(109,_USDashboardTable5930[Count])</f>
        <v>3</v>
      </c>
      <c r="N51" s="71">
        <f>SUBTOTAL(109,_USDashboardTable5930[Market Value (in USD)])</f>
        <v>16102.54842105263</v>
      </c>
      <c r="O51" s="70">
        <f>SUBTOTAL(109,_USDashboardTable5930[Percentage by Market Value])</f>
        <v>1</v>
      </c>
      <c r="Q51" s="49" t="s">
        <v>53</v>
      </c>
      <c r="R51" s="49">
        <f>SUBTOTAL(109,_USDashboardTable571132[Count])</f>
        <v>1</v>
      </c>
      <c r="S51" s="71">
        <f>SUBTOTAL(109,_USDashboardTable571132[Market Value (in USD)])</f>
        <v>2948.1481481481478</v>
      </c>
      <c r="T51" s="70">
        <f>SUBTOTAL(109,_USDashboardTable571132[Percentage by Market Value])</f>
        <v>1</v>
      </c>
      <c r="V51" s="49" t="s">
        <v>53</v>
      </c>
      <c r="W51" s="49">
        <f>SUBTOTAL(109,_USDashboardTable57111534[Count])</f>
        <v>0</v>
      </c>
      <c r="X51" s="71">
        <f>SUBTOTAL(109,_USDashboardTable57111534[Market Value (in USD)])</f>
        <v>0</v>
      </c>
      <c r="Y51" s="70">
        <f>SUBTOTAL(109,_USDashboardTable57111534[Percentage by Market Value])</f>
        <v>0</v>
      </c>
    </row>
    <row r="52" spans="2:25" outlineLevel="1" x14ac:dyDescent="0.2">
      <c r="B52" s="55"/>
      <c r="C52" s="55"/>
      <c r="D52" s="75"/>
      <c r="I52" s="58"/>
      <c r="J52" s="58"/>
      <c r="K52" s="59"/>
      <c r="L52" s="58"/>
      <c r="M52" s="57"/>
      <c r="N52" s="56"/>
      <c r="Q52" s="58"/>
      <c r="R52" s="57"/>
      <c r="S52" s="56"/>
      <c r="V52" s="58"/>
      <c r="W52" s="57"/>
      <c r="X52" s="56"/>
    </row>
    <row r="53" spans="2:25" outlineLevel="1" x14ac:dyDescent="0.2">
      <c r="B53" s="55"/>
      <c r="C53" s="55"/>
      <c r="I53" s="58"/>
      <c r="J53" s="58"/>
      <c r="K53" s="59"/>
      <c r="L53" s="58"/>
      <c r="M53" s="57"/>
      <c r="N53" s="56"/>
      <c r="Q53" s="58"/>
      <c r="R53" s="57"/>
      <c r="S53" s="56"/>
      <c r="V53" s="58"/>
      <c r="W53" s="57"/>
      <c r="X53" s="56"/>
    </row>
    <row r="54" spans="2:25" outlineLevel="1" x14ac:dyDescent="0.2">
      <c r="B54" s="55"/>
      <c r="C54" s="55"/>
      <c r="D54" s="75"/>
      <c r="I54" s="58"/>
      <c r="J54" s="58"/>
      <c r="K54" s="59"/>
      <c r="L54" s="58"/>
      <c r="M54" s="57"/>
      <c r="N54" s="56"/>
      <c r="Q54" s="58"/>
      <c r="R54" s="57"/>
      <c r="S54" s="56"/>
      <c r="V54" s="58"/>
      <c r="W54" s="57"/>
      <c r="X54" s="56"/>
    </row>
    <row r="55" spans="2:25" outlineLevel="1" x14ac:dyDescent="0.2"/>
    <row r="56" spans="2:25" outlineLevel="1" x14ac:dyDescent="0.2">
      <c r="B56" s="55"/>
      <c r="C56" s="55"/>
      <c r="D56" s="75"/>
    </row>
    <row r="57" spans="2:25" outlineLevel="1" x14ac:dyDescent="0.2"/>
    <row r="58" spans="2:25" outlineLevel="1" x14ac:dyDescent="0.2">
      <c r="B58" s="55"/>
      <c r="C58" s="55"/>
      <c r="D58" s="75"/>
    </row>
    <row r="59" spans="2:25" outlineLevel="1" x14ac:dyDescent="0.2"/>
    <row r="60" spans="2:25" outlineLevel="1" x14ac:dyDescent="0.2"/>
    <row r="61" spans="2:25" outlineLevel="1" x14ac:dyDescent="0.2"/>
    <row r="62" spans="2:25" outlineLevel="1" x14ac:dyDescent="0.2"/>
    <row r="63" spans="2:25" outlineLevel="1" x14ac:dyDescent="0.2"/>
    <row r="64" spans="2:25" outlineLevel="1" x14ac:dyDescent="0.2"/>
    <row r="65" outlineLevel="1" x14ac:dyDescent="0.2"/>
    <row r="66" outlineLevel="1" x14ac:dyDescent="0.2"/>
    <row r="67" outlineLevel="1" x14ac:dyDescent="0.2"/>
    <row r="68" outlineLevel="1" x14ac:dyDescent="0.2"/>
    <row r="69" outlineLevel="1" x14ac:dyDescent="0.2"/>
    <row r="70" outlineLevel="1" x14ac:dyDescent="0.2"/>
    <row r="71" outlineLevel="1" x14ac:dyDescent="0.2"/>
    <row r="72" outlineLevel="1" x14ac:dyDescent="0.2"/>
    <row r="73" outlineLevel="1" x14ac:dyDescent="0.2"/>
    <row r="74" outlineLevel="1" x14ac:dyDescent="0.2"/>
    <row r="75" outlineLevel="1" x14ac:dyDescent="0.2"/>
    <row r="76" outlineLevel="1" x14ac:dyDescent="0.2"/>
    <row r="77" outlineLevel="1" x14ac:dyDescent="0.2"/>
    <row r="78" outlineLevel="1" x14ac:dyDescent="0.2"/>
    <row r="79" outlineLevel="1" x14ac:dyDescent="0.2"/>
    <row r="80" outlineLevel="1" x14ac:dyDescent="0.2"/>
    <row r="81" outlineLevel="1" x14ac:dyDescent="0.2"/>
    <row r="82" outlineLevel="1" x14ac:dyDescent="0.2"/>
    <row r="83" outlineLevel="1" x14ac:dyDescent="0.2"/>
    <row r="84" outlineLevel="1" x14ac:dyDescent="0.2"/>
    <row r="85" outlineLevel="1" x14ac:dyDescent="0.2"/>
    <row r="86" outlineLevel="1" x14ac:dyDescent="0.2"/>
    <row r="87" outlineLevel="1" x14ac:dyDescent="0.2"/>
    <row r="88" outlineLevel="1" x14ac:dyDescent="0.2"/>
    <row r="89" outlineLevel="1" x14ac:dyDescent="0.2"/>
    <row r="90" outlineLevel="1" x14ac:dyDescent="0.2"/>
    <row r="91" outlineLevel="1" x14ac:dyDescent="0.2"/>
    <row r="92" outlineLevel="1" x14ac:dyDescent="0.2"/>
    <row r="93" outlineLevel="1" x14ac:dyDescent="0.2"/>
    <row r="94" outlineLevel="1" x14ac:dyDescent="0.2"/>
    <row r="95" outlineLevel="1" x14ac:dyDescent="0.2"/>
    <row r="96" outlineLevel="1" x14ac:dyDescent="0.2"/>
    <row r="97" spans="2:25" outlineLevel="1" x14ac:dyDescent="0.2"/>
    <row r="98" spans="2:25" outlineLevel="1" x14ac:dyDescent="0.2"/>
    <row r="99" spans="2:25" outlineLevel="1" x14ac:dyDescent="0.2"/>
    <row r="100" spans="2:25" outlineLevel="1" x14ac:dyDescent="0.2"/>
    <row r="101" spans="2:25" outlineLevel="1" x14ac:dyDescent="0.2"/>
    <row r="104" spans="2:25" s="60" customFormat="1" ht="26" customHeight="1" x14ac:dyDescent="0.3">
      <c r="B104" s="81" t="s">
        <v>69</v>
      </c>
      <c r="C104" s="54"/>
      <c r="E104" s="63"/>
      <c r="I104" s="62"/>
      <c r="J104" s="62"/>
      <c r="N104" s="61"/>
      <c r="S104" s="61"/>
      <c r="X104" s="61"/>
    </row>
    <row r="105" spans="2:25" s="78" customFormat="1" ht="26" customHeight="1" outlineLevel="1" x14ac:dyDescent="0.15">
      <c r="B105" s="80" t="s">
        <v>53</v>
      </c>
      <c r="C105" s="80"/>
      <c r="E105" s="79"/>
      <c r="G105" s="80" t="s">
        <v>57</v>
      </c>
      <c r="J105" s="79"/>
      <c r="L105" s="80" t="s">
        <v>191</v>
      </c>
      <c r="O105" s="79"/>
      <c r="Q105" s="80" t="s">
        <v>56</v>
      </c>
      <c r="T105" s="79"/>
      <c r="V105" s="80" t="s">
        <v>262</v>
      </c>
      <c r="Y105" s="79"/>
    </row>
    <row r="106" spans="2:25" s="77" customFormat="1" ht="35.25" customHeight="1" outlineLevel="1" x14ac:dyDescent="0.15">
      <c r="B106" s="73" t="s">
        <v>68</v>
      </c>
      <c r="C106" s="73" t="s">
        <v>60</v>
      </c>
      <c r="D106" s="73" t="s">
        <v>59</v>
      </c>
      <c r="E106" s="72" t="s">
        <v>58</v>
      </c>
      <c r="G106" s="73" t="s">
        <v>68</v>
      </c>
      <c r="H106" s="73" t="s">
        <v>60</v>
      </c>
      <c r="I106" s="73" t="s">
        <v>59</v>
      </c>
      <c r="J106" s="72" t="s">
        <v>58</v>
      </c>
      <c r="L106" s="73" t="s">
        <v>68</v>
      </c>
      <c r="M106" s="73" t="s">
        <v>60</v>
      </c>
      <c r="N106" s="73" t="s">
        <v>59</v>
      </c>
      <c r="O106" s="72" t="s">
        <v>58</v>
      </c>
      <c r="Q106" s="73" t="s">
        <v>68</v>
      </c>
      <c r="R106" s="73" t="s">
        <v>60</v>
      </c>
      <c r="S106" s="73" t="s">
        <v>59</v>
      </c>
      <c r="T106" s="72" t="s">
        <v>58</v>
      </c>
      <c r="V106" s="73" t="s">
        <v>68</v>
      </c>
      <c r="W106" s="73" t="s">
        <v>60</v>
      </c>
      <c r="X106" s="73" t="s">
        <v>59</v>
      </c>
      <c r="Y106" s="72" t="s">
        <v>58</v>
      </c>
    </row>
    <row r="107" spans="2:25" s="76" customFormat="1" ht="35.25" customHeight="1" outlineLevel="1" x14ac:dyDescent="0.15">
      <c r="B107" s="53" t="s">
        <v>67</v>
      </c>
      <c r="C107" s="52">
        <f>COUNTIFS(_TrackerTable35[Category],_USDashboardTable5626[[#This Row],[Category]])</f>
        <v>1</v>
      </c>
      <c r="D107" s="51">
        <f>SUMIFS(_TrackerTable35[Market Value
(in USD)],_TrackerTable35[Category],_USDashboardTable5626[[#This Row],[Category]])</f>
        <v>2948.1481481481478</v>
      </c>
      <c r="E107" s="50">
        <f>IF(_USDashboardTable5626[[#Totals],[Market Value (in USD)]]&gt;0,_USDashboardTable5626[[#This Row],[Market Value (in USD)]]/_USDashboardTable5626[[#Totals],[Market Value (in USD)]],0)</f>
        <v>5.5498547633025502E-2</v>
      </c>
      <c r="G107" s="53" t="s">
        <v>67</v>
      </c>
      <c r="H107" s="52">
        <f>COUNTIFS(_TrackerTable35[Country],G$105,_TrackerTable35[Category],_USDashboardTable24[[#This Row],[Category]])</f>
        <v>0</v>
      </c>
      <c r="I107" s="51">
        <f>SUMIFS(_TrackerTable35[Market Value
(in USD)],_TrackerTable35[Country],G$105,_TrackerTable35[Category],_USDashboardTable24[[#This Row],[Category]])</f>
        <v>0</v>
      </c>
      <c r="J107" s="50">
        <f>IF(_USDashboardTable24[[#Totals],[Market Value (in USD)]]&gt;0,_USDashboardTable24[[#This Row],[Market Value (in USD)]]/_USDashboardTable24[[#Totals],[Market Value (in USD)]],0)</f>
        <v>0</v>
      </c>
      <c r="L107" s="53" t="s">
        <v>67</v>
      </c>
      <c r="M107" s="52">
        <f>COUNTIFS(_TrackerTable35[Country],L$105,_TrackerTable35[Category],_USDashboardTable525[[#This Row],[Category]])</f>
        <v>0</v>
      </c>
      <c r="N107" s="51">
        <f>SUMIFS(_TrackerTable35[Market Value
(in USD)],_TrackerTable35[Country],L$105,_TrackerTable35[Category],_USDashboardTable525[[#This Row],[Category]])</f>
        <v>0</v>
      </c>
      <c r="O107" s="50">
        <f>IF(_USDashboardTable525[[#Totals],[Market Value (in USD)]]&gt;0,_USDashboardTable525[[#This Row],[Market Value (in USD)]]/_USDashboardTable525[[#Totals],[Market Value (in USD)]],0)</f>
        <v>0</v>
      </c>
      <c r="Q107" s="53" t="s">
        <v>67</v>
      </c>
      <c r="R107" s="52">
        <f>COUNTIFS(_TrackerTable35[Country],Q$105,_TrackerTable35[Category],_USDashboardTable5727[[#This Row],[Category]])</f>
        <v>1</v>
      </c>
      <c r="S107" s="51">
        <f>SUMIFS(_TrackerTable35[Market Value
(in USD)],_TrackerTable35[Country],Q$105,_TrackerTable35[Category],_USDashboardTable5727[[#This Row],[Category]])</f>
        <v>2948.1481481481478</v>
      </c>
      <c r="T107" s="50">
        <f>IF(_USDashboardTable5727[[#Totals],[Market Value (in USD)]]&gt;0,_USDashboardTable5727[[#This Row],[Market Value (in USD)]]/_USDashboardTable5727[[#Totals],[Market Value (in USD)]],0)</f>
        <v>1</v>
      </c>
      <c r="V107" s="53" t="s">
        <v>67</v>
      </c>
      <c r="W107" s="52">
        <f>COUNTIFS(_TrackerTable35[Country],V$105,_TrackerTable35[Category],_USDashboardTable571433[[#This Row],[Category]])</f>
        <v>0</v>
      </c>
      <c r="X107" s="51">
        <f>SUMIFS(_TrackerTable35[Market Value
(in USD)],_TrackerTable35[Country],V$105,_TrackerTable35[Category],_USDashboardTable571433[[#This Row],[Category]])</f>
        <v>0</v>
      </c>
      <c r="Y107" s="50">
        <f>IF(_USDashboardTable571433[[#Totals],[Market Value (in USD)]]&gt;0,_USDashboardTable571433[[#This Row],[Market Value (in USD)]]/_USDashboardTable571433[[#Totals],[Market Value (in USD)]],0)</f>
        <v>0</v>
      </c>
    </row>
    <row r="108" spans="2:25" s="76" customFormat="1" ht="35.25" customHeight="1" outlineLevel="1" x14ac:dyDescent="0.15">
      <c r="B108" s="53" t="s">
        <v>228</v>
      </c>
      <c r="C108" s="52">
        <f>COUNTIFS(_TrackerTable35[Category],_USDashboardTable5626[[#This Row],[Category]])</f>
        <v>0</v>
      </c>
      <c r="D108" s="51">
        <f>SUMIFS(_TrackerTable35[Market Value
(in USD)],_TrackerTable35[Category],_USDashboardTable5626[[#This Row],[Category]])</f>
        <v>0</v>
      </c>
      <c r="E108" s="50">
        <f>IF(_USDashboardTable5626[[#Totals],[Market Value (in USD)]]&gt;0,_USDashboardTable5626[[#This Row],[Market Value (in USD)]]/_USDashboardTable5626[[#Totals],[Market Value (in USD)]],0)</f>
        <v>0</v>
      </c>
      <c r="G108" s="53" t="s">
        <v>228</v>
      </c>
      <c r="H108" s="52">
        <f>COUNTIFS(_TrackerTable35[Country],G$105,_TrackerTable35[Category],_USDashboardTable24[[#This Row],[Category]])</f>
        <v>0</v>
      </c>
      <c r="I108" s="51">
        <f>SUMIFS(_TrackerTable35[Market Value
(in USD)],_TrackerTable35[Country],G$105,_TrackerTable35[Category],_USDashboardTable24[[#This Row],[Category]])</f>
        <v>0</v>
      </c>
      <c r="J108" s="50">
        <f>IF(_USDashboardTable24[[#Totals],[Market Value (in USD)]]&gt;0,_USDashboardTable24[[#This Row],[Market Value (in USD)]]/_USDashboardTable24[[#Totals],[Market Value (in USD)]],0)</f>
        <v>0</v>
      </c>
      <c r="L108" s="53" t="s">
        <v>228</v>
      </c>
      <c r="M108" s="52">
        <f>COUNTIFS(_TrackerTable35[Country],L$105,_TrackerTable35[Category],_USDashboardTable525[[#This Row],[Category]])</f>
        <v>0</v>
      </c>
      <c r="N108" s="51">
        <f>SUMIFS(_TrackerTable35[Market Value
(in USD)],_TrackerTable35[Country],L$105,_TrackerTable35[Category],_USDashboardTable525[[#This Row],[Category]])</f>
        <v>0</v>
      </c>
      <c r="O108" s="50">
        <f>IF(_USDashboardTable525[[#Totals],[Market Value (in USD)]]&gt;0,_USDashboardTable525[[#This Row],[Market Value (in USD)]]/_USDashboardTable525[[#Totals],[Market Value (in USD)]],0)</f>
        <v>0</v>
      </c>
      <c r="Q108" s="53" t="s">
        <v>228</v>
      </c>
      <c r="R108" s="52">
        <f>COUNTIFS(_TrackerTable35[Country],Q$105,_TrackerTable35[Category],_USDashboardTable5727[[#This Row],[Category]])</f>
        <v>0</v>
      </c>
      <c r="S108" s="51">
        <f>SUMIFS(_TrackerTable35[Market Value
(in USD)],_TrackerTable35[Country],Q$105,_TrackerTable35[Category],_USDashboardTable5727[[#This Row],[Category]])</f>
        <v>0</v>
      </c>
      <c r="T108" s="50">
        <f>IF(_USDashboardTable5727[[#Totals],[Market Value (in USD)]]&gt;0,_USDashboardTable5727[[#This Row],[Market Value (in USD)]]/_USDashboardTable5727[[#Totals],[Market Value (in USD)]],0)</f>
        <v>0</v>
      </c>
      <c r="V108" s="53" t="s">
        <v>228</v>
      </c>
      <c r="W108" s="52">
        <f>COUNTIFS(_TrackerTable35[Country],V$105,_TrackerTable35[Category],_USDashboardTable571433[[#This Row],[Category]])</f>
        <v>0</v>
      </c>
      <c r="X108" s="51">
        <f>SUMIFS(_TrackerTable35[Market Value
(in USD)],_TrackerTable35[Country],V$105,_TrackerTable35[Category],_USDashboardTable571433[[#This Row],[Category]])</f>
        <v>0</v>
      </c>
      <c r="Y108" s="50">
        <f>IF(_USDashboardTable571433[[#Totals],[Market Value (in USD)]]&gt;0,_USDashboardTable571433[[#This Row],[Market Value (in USD)]]/_USDashboardTable571433[[#Totals],[Market Value (in USD)]],0)</f>
        <v>0</v>
      </c>
    </row>
    <row r="109" spans="2:25" s="76" customFormat="1" ht="35.25" customHeight="1" outlineLevel="1" x14ac:dyDescent="0.15">
      <c r="B109" s="53" t="s">
        <v>66</v>
      </c>
      <c r="C109" s="52">
        <f>COUNTIFS(_TrackerTable35[Category],_USDashboardTable5626[[#This Row],[Category]])</f>
        <v>0</v>
      </c>
      <c r="D109" s="51">
        <f>SUMIFS(_TrackerTable35[Market Value
(in USD)],_TrackerTable35[Category],_USDashboardTable5626[[#This Row],[Category]])</f>
        <v>0</v>
      </c>
      <c r="E109" s="50">
        <f>IF(_USDashboardTable5626[[#Totals],[Market Value (in USD)]]&gt;0,_USDashboardTable5626[[#This Row],[Market Value (in USD)]]/_USDashboardTable5626[[#Totals],[Market Value (in USD)]],0)</f>
        <v>0</v>
      </c>
      <c r="G109" s="53" t="s">
        <v>66</v>
      </c>
      <c r="H109" s="52">
        <f>COUNTIFS(_TrackerTable35[Country],G$105,_TrackerTable35[Category],_USDashboardTable24[[#This Row],[Category]])</f>
        <v>0</v>
      </c>
      <c r="I109" s="51">
        <f>SUMIFS(_TrackerTable35[Market Value
(in USD)],_TrackerTable35[Country],G$105,_TrackerTable35[Category],_USDashboardTable24[[#This Row],[Category]])</f>
        <v>0</v>
      </c>
      <c r="J109" s="50">
        <f>IF(_USDashboardTable24[[#Totals],[Market Value (in USD)]]&gt;0,_USDashboardTable24[[#This Row],[Market Value (in USD)]]/_USDashboardTable24[[#Totals],[Market Value (in USD)]],0)</f>
        <v>0</v>
      </c>
      <c r="L109" s="53" t="s">
        <v>66</v>
      </c>
      <c r="M109" s="52">
        <f>COUNTIFS(_TrackerTable35[Country],L$105,_TrackerTable35[Category],_USDashboardTable525[[#This Row],[Category]])</f>
        <v>0</v>
      </c>
      <c r="N109" s="51">
        <f>SUMIFS(_TrackerTable35[Market Value
(in USD)],_TrackerTable35[Country],L$105,_TrackerTable35[Category],_USDashboardTable525[[#This Row],[Category]])</f>
        <v>0</v>
      </c>
      <c r="O109" s="50">
        <f>IF(_USDashboardTable525[[#Totals],[Market Value (in USD)]]&gt;0,_USDashboardTable525[[#This Row],[Market Value (in USD)]]/_USDashboardTable525[[#Totals],[Market Value (in USD)]],0)</f>
        <v>0</v>
      </c>
      <c r="Q109" s="53" t="s">
        <v>66</v>
      </c>
      <c r="R109" s="52">
        <f>COUNTIFS(_TrackerTable35[Country],Q$105,_TrackerTable35[Category],_USDashboardTable5727[[#This Row],[Category]])</f>
        <v>0</v>
      </c>
      <c r="S109" s="51">
        <f>SUMIFS(_TrackerTable35[Market Value
(in USD)],_TrackerTable35[Country],Q$105,_TrackerTable35[Category],_USDashboardTable5727[[#This Row],[Category]])</f>
        <v>0</v>
      </c>
      <c r="T109" s="50">
        <f>IF(_USDashboardTable5727[[#Totals],[Market Value (in USD)]]&gt;0,_USDashboardTable5727[[#This Row],[Market Value (in USD)]]/_USDashboardTable5727[[#Totals],[Market Value (in USD)]],0)</f>
        <v>0</v>
      </c>
      <c r="V109" s="53" t="s">
        <v>66</v>
      </c>
      <c r="W109" s="52">
        <f>COUNTIFS(_TrackerTable35[Country],V$105,_TrackerTable35[Category],_USDashboardTable571433[[#This Row],[Category]])</f>
        <v>0</v>
      </c>
      <c r="X109" s="51">
        <f>SUMIFS(_TrackerTable35[Market Value
(in USD)],_TrackerTable35[Country],V$105,_TrackerTable35[Category],_USDashboardTable571433[[#This Row],[Category]])</f>
        <v>0</v>
      </c>
      <c r="Y109" s="50">
        <f>IF(_USDashboardTable571433[[#Totals],[Market Value (in USD)]]&gt;0,_USDashboardTable571433[[#This Row],[Market Value (in USD)]]/_USDashboardTable571433[[#Totals],[Market Value (in USD)]],0)</f>
        <v>0</v>
      </c>
    </row>
    <row r="110" spans="2:25" s="76" customFormat="1" ht="35.25" customHeight="1" outlineLevel="1" x14ac:dyDescent="0.15">
      <c r="B110" s="53" t="s">
        <v>48</v>
      </c>
      <c r="C110" s="52">
        <f>COUNTIFS(_TrackerTable35[Category],_USDashboardTable5626[[#This Row],[Category]])</f>
        <v>1</v>
      </c>
      <c r="D110" s="51">
        <f>SUMIFS(_TrackerTable35[Market Value
(in USD)],_TrackerTable35[Category],_USDashboardTable5626[[#This Row],[Category]])</f>
        <v>5955.18</v>
      </c>
      <c r="E110" s="50">
        <f>IF(_USDashboardTable5626[[#Totals],[Market Value (in USD)]]&gt;0,_USDashboardTable5626[[#This Row],[Market Value (in USD)]]/_USDashboardTable5626[[#Totals],[Market Value (in USD)]],0)</f>
        <v>0.11210557417233044</v>
      </c>
      <c r="G110" s="53" t="s">
        <v>48</v>
      </c>
      <c r="H110" s="52">
        <f>COUNTIFS(_TrackerTable35[Country],G$105,_TrackerTable35[Category],_USDashboardTable24[[#This Row],[Category]])</f>
        <v>0</v>
      </c>
      <c r="I110" s="51">
        <f>SUMIFS(_TrackerTable35[Market Value
(in USD)],_TrackerTable35[Country],G$105,_TrackerTable35[Category],_USDashboardTable24[[#This Row],[Category]])</f>
        <v>0</v>
      </c>
      <c r="J110" s="50">
        <f>IF(_USDashboardTable24[[#Totals],[Market Value (in USD)]]&gt;0,_USDashboardTable24[[#This Row],[Market Value (in USD)]]/_USDashboardTable24[[#Totals],[Market Value (in USD)]],0)</f>
        <v>0</v>
      </c>
      <c r="L110" s="53" t="s">
        <v>48</v>
      </c>
      <c r="M110" s="52">
        <f>COUNTIFS(_TrackerTable35[Country],L$105,_TrackerTable35[Category],_USDashboardTable525[[#This Row],[Category]])</f>
        <v>1</v>
      </c>
      <c r="N110" s="51">
        <f>SUMIFS(_TrackerTable35[Market Value
(in USD)],_TrackerTable35[Country],L$105,_TrackerTable35[Category],_USDashboardTable525[[#This Row],[Category]])</f>
        <v>5955.18</v>
      </c>
      <c r="O110" s="50">
        <f>IF(_USDashboardTable525[[#Totals],[Market Value (in USD)]]&gt;0,_USDashboardTable525[[#This Row],[Market Value (in USD)]]/_USDashboardTable525[[#Totals],[Market Value (in USD)]],0)</f>
        <v>0.36982841748292089</v>
      </c>
      <c r="Q110" s="53" t="s">
        <v>48</v>
      </c>
      <c r="R110" s="52">
        <f>COUNTIFS(_TrackerTable35[Country],Q$105,_TrackerTable35[Category],_USDashboardTable5727[[#This Row],[Category]])</f>
        <v>0</v>
      </c>
      <c r="S110" s="51">
        <f>SUMIFS(_TrackerTable35[Market Value
(in USD)],_TrackerTable35[Country],Q$105,_TrackerTable35[Category],_USDashboardTable5727[[#This Row],[Category]])</f>
        <v>0</v>
      </c>
      <c r="T110" s="50">
        <f>IF(_USDashboardTable5727[[#Totals],[Market Value (in USD)]]&gt;0,_USDashboardTable5727[[#This Row],[Market Value (in USD)]]/_USDashboardTable5727[[#Totals],[Market Value (in USD)]],0)</f>
        <v>0</v>
      </c>
      <c r="V110" s="53" t="s">
        <v>48</v>
      </c>
      <c r="W110" s="52">
        <f>COUNTIFS(_TrackerTable35[Country],V$105,_TrackerTable35[Category],_USDashboardTable571433[[#This Row],[Category]])</f>
        <v>0</v>
      </c>
      <c r="X110" s="51">
        <f>SUMIFS(_TrackerTable35[Market Value
(in USD)],_TrackerTable35[Country],V$105,_TrackerTable35[Category],_USDashboardTable571433[[#This Row],[Category]])</f>
        <v>0</v>
      </c>
      <c r="Y110" s="50">
        <f>IF(_USDashboardTable571433[[#Totals],[Market Value (in USD)]]&gt;0,_USDashboardTable571433[[#This Row],[Market Value (in USD)]]/_USDashboardTable571433[[#Totals],[Market Value (in USD)]],0)</f>
        <v>0</v>
      </c>
    </row>
    <row r="111" spans="2:25" s="76" customFormat="1" ht="35.25" customHeight="1" outlineLevel="1" x14ac:dyDescent="0.15">
      <c r="B111" s="53" t="s">
        <v>65</v>
      </c>
      <c r="C111" s="52">
        <f>COUNTIFS(_TrackerTable35[Category],_USDashboardTable5626[[#This Row],[Category]])</f>
        <v>5</v>
      </c>
      <c r="D111" s="51">
        <f>SUMIFS(_TrackerTable35[Market Value
(in USD)],_TrackerTable35[Category],_USDashboardTable5626[[#This Row],[Category]])</f>
        <v>30648.528421052633</v>
      </c>
      <c r="E111" s="50">
        <f>IF(_USDashboardTable5626[[#Totals],[Market Value (in USD)]]&gt;0,_USDashboardTable5626[[#This Row],[Market Value (in USD)]]/_USDashboardTable5626[[#Totals],[Market Value (in USD)]],0)</f>
        <v>0.57695499987894461</v>
      </c>
      <c r="G111" s="53" t="s">
        <v>65</v>
      </c>
      <c r="H111" s="52">
        <f>COUNTIFS(_TrackerTable35[Country],G$105,_TrackerTable35[Category],_USDashboardTable24[[#This Row],[Category]])</f>
        <v>3</v>
      </c>
      <c r="I111" s="51">
        <f>SUMIFS(_TrackerTable35[Market Value
(in USD)],_TrackerTable35[Country],G$105,_TrackerTable35[Category],_USDashboardTable24[[#This Row],[Category]])</f>
        <v>20501.160000000003</v>
      </c>
      <c r="J111" s="50">
        <f>IF(_USDashboardTable24[[#Totals],[Market Value (in USD)]]&gt;0,_USDashboardTable24[[#This Row],[Market Value (in USD)]]/_USDashboardTable24[[#Totals],[Market Value (in USD)]],0)</f>
        <v>0.60172794747828628</v>
      </c>
      <c r="L111" s="53" t="s">
        <v>65</v>
      </c>
      <c r="M111" s="52">
        <f>COUNTIFS(_TrackerTable35[Country],L$105,_TrackerTable35[Category],_USDashboardTable525[[#This Row],[Category]])</f>
        <v>2</v>
      </c>
      <c r="N111" s="51">
        <f>SUMIFS(_TrackerTable35[Market Value
(in USD)],_TrackerTable35[Country],L$105,_TrackerTable35[Category],_USDashboardTable525[[#This Row],[Category]])</f>
        <v>10147.36842105263</v>
      </c>
      <c r="O111" s="50">
        <f>IF(_USDashboardTable525[[#Totals],[Market Value (in USD)]]&gt;0,_USDashboardTable525[[#This Row],[Market Value (in USD)]]/_USDashboardTable525[[#Totals],[Market Value (in USD)]],0)</f>
        <v>0.63017158251707917</v>
      </c>
      <c r="Q111" s="53" t="s">
        <v>65</v>
      </c>
      <c r="R111" s="52">
        <f>COUNTIFS(_TrackerTable35[Country],Q$105,_TrackerTable35[Category],_USDashboardTable5727[[#This Row],[Category]])</f>
        <v>0</v>
      </c>
      <c r="S111" s="51">
        <f>SUMIFS(_TrackerTable35[Market Value
(in USD)],_TrackerTable35[Country],Q$105,_TrackerTable35[Category],_USDashboardTable5727[[#This Row],[Category]])</f>
        <v>0</v>
      </c>
      <c r="T111" s="50">
        <f>IF(_USDashboardTable5727[[#Totals],[Market Value (in USD)]]&gt;0,_USDashboardTable5727[[#This Row],[Market Value (in USD)]]/_USDashboardTable5727[[#Totals],[Market Value (in USD)]],0)</f>
        <v>0</v>
      </c>
      <c r="V111" s="53" t="s">
        <v>65</v>
      </c>
      <c r="W111" s="52">
        <f>COUNTIFS(_TrackerTable35[Country],V$105,_TrackerTable35[Category],_USDashboardTable571433[[#This Row],[Category]])</f>
        <v>0</v>
      </c>
      <c r="X111" s="51">
        <f>SUMIFS(_TrackerTable35[Market Value
(in USD)],_TrackerTable35[Country],V$105,_TrackerTable35[Category],_USDashboardTable571433[[#This Row],[Category]])</f>
        <v>0</v>
      </c>
      <c r="Y111" s="50">
        <f>IF(_USDashboardTable571433[[#Totals],[Market Value (in USD)]]&gt;0,_USDashboardTable571433[[#This Row],[Market Value (in USD)]]/_USDashboardTable571433[[#Totals],[Market Value (in USD)]],0)</f>
        <v>0</v>
      </c>
    </row>
    <row r="112" spans="2:25" s="76" customFormat="1" ht="35.25" customHeight="1" outlineLevel="1" x14ac:dyDescent="0.15">
      <c r="B112" s="53" t="s">
        <v>64</v>
      </c>
      <c r="C112" s="52">
        <f>COUNTIFS(_TrackerTable35[Category],_USDashboardTable5626[[#This Row],[Category]])</f>
        <v>0</v>
      </c>
      <c r="D112" s="51">
        <f>SUMIFS(_TrackerTable35[Market Value
(in USD)],_TrackerTable35[Category],_USDashboardTable5626[[#This Row],[Category]])</f>
        <v>0</v>
      </c>
      <c r="E112" s="50">
        <f>IF(_USDashboardTable5626[[#Totals],[Market Value (in USD)]]&gt;0,_USDashboardTable5626[[#This Row],[Market Value (in USD)]]/_USDashboardTable5626[[#Totals],[Market Value (in USD)]],0)</f>
        <v>0</v>
      </c>
      <c r="G112" s="53" t="s">
        <v>64</v>
      </c>
      <c r="H112" s="52">
        <f>COUNTIFS(_TrackerTable35[Country],G$105,_TrackerTable35[Category],_USDashboardTable24[[#This Row],[Category]])</f>
        <v>0</v>
      </c>
      <c r="I112" s="51">
        <f>SUMIFS(_TrackerTable35[Market Value
(in USD)],_TrackerTable35[Country],G$105,_TrackerTable35[Category],_USDashboardTable24[[#This Row],[Category]])</f>
        <v>0</v>
      </c>
      <c r="J112" s="50">
        <f>IF(_USDashboardTable24[[#Totals],[Market Value (in USD)]]&gt;0,_USDashboardTable24[[#This Row],[Market Value (in USD)]]/_USDashboardTable24[[#Totals],[Market Value (in USD)]],0)</f>
        <v>0</v>
      </c>
      <c r="L112" s="53" t="s">
        <v>64</v>
      </c>
      <c r="M112" s="52">
        <f>COUNTIFS(_TrackerTable35[Country],L$105,_TrackerTable35[Category],_USDashboardTable525[[#This Row],[Category]])</f>
        <v>0</v>
      </c>
      <c r="N112" s="51">
        <f>SUMIFS(_TrackerTable35[Market Value
(in USD)],_TrackerTable35[Country],L$105,_TrackerTable35[Category],_USDashboardTable525[[#This Row],[Category]])</f>
        <v>0</v>
      </c>
      <c r="O112" s="50">
        <f>IF(_USDashboardTable525[[#Totals],[Market Value (in USD)]]&gt;0,_USDashboardTable525[[#This Row],[Market Value (in USD)]]/_USDashboardTable525[[#Totals],[Market Value (in USD)]],0)</f>
        <v>0</v>
      </c>
      <c r="Q112" s="53" t="s">
        <v>64</v>
      </c>
      <c r="R112" s="52">
        <f>COUNTIFS(_TrackerTable35[Country],Q$105,_TrackerTable35[Category],_USDashboardTable5727[[#This Row],[Category]])</f>
        <v>0</v>
      </c>
      <c r="S112" s="51">
        <f>SUMIFS(_TrackerTable35[Market Value
(in USD)],_TrackerTable35[Country],Q$105,_TrackerTable35[Category],_USDashboardTable5727[[#This Row],[Category]])</f>
        <v>0</v>
      </c>
      <c r="T112" s="50">
        <f>IF(_USDashboardTable5727[[#Totals],[Market Value (in USD)]]&gt;0,_USDashboardTable5727[[#This Row],[Market Value (in USD)]]/_USDashboardTable5727[[#Totals],[Market Value (in USD)]],0)</f>
        <v>0</v>
      </c>
      <c r="V112" s="53" t="s">
        <v>64</v>
      </c>
      <c r="W112" s="52">
        <f>COUNTIFS(_TrackerTable35[Country],V$105,_TrackerTable35[Category],_USDashboardTable571433[[#This Row],[Category]])</f>
        <v>0</v>
      </c>
      <c r="X112" s="51">
        <f>SUMIFS(_TrackerTable35[Market Value
(in USD)],_TrackerTable35[Country],V$105,_TrackerTable35[Category],_USDashboardTable571433[[#This Row],[Category]])</f>
        <v>0</v>
      </c>
      <c r="Y112" s="50">
        <f>IF(_USDashboardTable571433[[#Totals],[Market Value (in USD)]]&gt;0,_USDashboardTable571433[[#This Row],[Market Value (in USD)]]/_USDashboardTable571433[[#Totals],[Market Value (in USD)]],0)</f>
        <v>0</v>
      </c>
    </row>
    <row r="113" spans="2:25" s="76" customFormat="1" ht="35.25" customHeight="1" outlineLevel="1" x14ac:dyDescent="0.15">
      <c r="B113" s="53" t="s">
        <v>47</v>
      </c>
      <c r="C113" s="52">
        <f>COUNTIFS(_TrackerTable35[Category],_USDashboardTable5626[[#This Row],[Category]])</f>
        <v>2</v>
      </c>
      <c r="D113" s="51">
        <f>SUMIFS(_TrackerTable35[Market Value
(in USD)],_TrackerTable35[Category],_USDashboardTable5626[[#This Row],[Category]])</f>
        <v>13569.32</v>
      </c>
      <c r="E113" s="50">
        <f>IF(_USDashboardTable5626[[#Totals],[Market Value (in USD)]]&gt;0,_USDashboardTable5626[[#This Row],[Market Value (in USD)]]/_USDashboardTable5626[[#Totals],[Market Value (in USD)]],0)</f>
        <v>0.25544087831569939</v>
      </c>
      <c r="G113" s="53" t="s">
        <v>47</v>
      </c>
      <c r="H113" s="52">
        <f>COUNTIFS(_TrackerTable35[Country],G$105,_TrackerTable35[Category],_USDashboardTable24[[#This Row],[Category]])</f>
        <v>2</v>
      </c>
      <c r="I113" s="51">
        <f>SUMIFS(_TrackerTable35[Market Value
(in USD)],_TrackerTable35[Country],G$105,_TrackerTable35[Category],_USDashboardTable24[[#This Row],[Category]])</f>
        <v>13569.32</v>
      </c>
      <c r="J113" s="50">
        <f>IF(_USDashboardTable24[[#Totals],[Market Value (in USD)]]&gt;0,_USDashboardTable24[[#This Row],[Market Value (in USD)]]/_USDashboardTable24[[#Totals],[Market Value (in USD)]],0)</f>
        <v>0.39827205252171377</v>
      </c>
      <c r="L113" s="53" t="s">
        <v>47</v>
      </c>
      <c r="M113" s="52">
        <f>COUNTIFS(_TrackerTable35[Country],L$105,_TrackerTable35[Category],_USDashboardTable525[[#This Row],[Category]])</f>
        <v>0</v>
      </c>
      <c r="N113" s="51">
        <f>SUMIFS(_TrackerTable35[Market Value
(in USD)],_TrackerTable35[Country],L$105,_TrackerTable35[Category],_USDashboardTable525[[#This Row],[Category]])</f>
        <v>0</v>
      </c>
      <c r="O113" s="50">
        <f>IF(_USDashboardTable525[[#Totals],[Market Value (in USD)]]&gt;0,_USDashboardTable525[[#This Row],[Market Value (in USD)]]/_USDashboardTable525[[#Totals],[Market Value (in USD)]],0)</f>
        <v>0</v>
      </c>
      <c r="Q113" s="53" t="s">
        <v>47</v>
      </c>
      <c r="R113" s="52">
        <f>COUNTIFS(_TrackerTable35[Country],Q$105,_TrackerTable35[Category],_USDashboardTable5727[[#This Row],[Category]])</f>
        <v>0</v>
      </c>
      <c r="S113" s="51">
        <f>SUMIFS(_TrackerTable35[Market Value
(in USD)],_TrackerTable35[Country],Q$105,_TrackerTable35[Category],_USDashboardTable5727[[#This Row],[Category]])</f>
        <v>0</v>
      </c>
      <c r="T113" s="50">
        <f>IF(_USDashboardTable5727[[#Totals],[Market Value (in USD)]]&gt;0,_USDashboardTable5727[[#This Row],[Market Value (in USD)]]/_USDashboardTable5727[[#Totals],[Market Value (in USD)]],0)</f>
        <v>0</v>
      </c>
      <c r="V113" s="53" t="s">
        <v>47</v>
      </c>
      <c r="W113" s="52">
        <f>COUNTIFS(_TrackerTable35[Country],V$105,_TrackerTable35[Category],_USDashboardTable571433[[#This Row],[Category]])</f>
        <v>0</v>
      </c>
      <c r="X113" s="51">
        <f>SUMIFS(_TrackerTable35[Market Value
(in USD)],_TrackerTable35[Country],V$105,_TrackerTable35[Category],_USDashboardTable571433[[#This Row],[Category]])</f>
        <v>0</v>
      </c>
      <c r="Y113" s="50">
        <f>IF(_USDashboardTable571433[[#Totals],[Market Value (in USD)]]&gt;0,_USDashboardTable571433[[#This Row],[Market Value (in USD)]]/_USDashboardTable571433[[#Totals],[Market Value (in USD)]],0)</f>
        <v>0</v>
      </c>
    </row>
    <row r="114" spans="2:25" s="76" customFormat="1" ht="35.25" customHeight="1" outlineLevel="1" x14ac:dyDescent="0.15">
      <c r="B114" s="53" t="s">
        <v>63</v>
      </c>
      <c r="C114" s="52">
        <f>COUNTIFS(_TrackerTable35[Category],_USDashboardTable5626[[#This Row],[Category]])</f>
        <v>0</v>
      </c>
      <c r="D114" s="51">
        <f>SUMIFS(_TrackerTable35[Market Value
(in USD)],_TrackerTable35[Category],_USDashboardTable5626[[#This Row],[Category]])</f>
        <v>0</v>
      </c>
      <c r="E114" s="50">
        <f>IF(_USDashboardTable5626[[#Totals],[Market Value (in USD)]]&gt;0,_USDashboardTable5626[[#This Row],[Market Value (in USD)]]/_USDashboardTable5626[[#Totals],[Market Value (in USD)]],0)</f>
        <v>0</v>
      </c>
      <c r="G114" s="53" t="s">
        <v>63</v>
      </c>
      <c r="H114" s="52">
        <f>COUNTIFS(_TrackerTable35[Country],G$105,_TrackerTable35[Category],_USDashboardTable24[[#This Row],[Category]])</f>
        <v>0</v>
      </c>
      <c r="I114" s="51">
        <f>SUMIFS(_TrackerTable35[Market Value
(in USD)],_TrackerTable35[Country],G$105,_TrackerTable35[Category],_USDashboardTable24[[#This Row],[Category]])</f>
        <v>0</v>
      </c>
      <c r="J114" s="50">
        <f>IF(_USDashboardTable24[[#Totals],[Market Value (in USD)]]&gt;0,_USDashboardTable24[[#This Row],[Market Value (in USD)]]/_USDashboardTable24[[#Totals],[Market Value (in USD)]],0)</f>
        <v>0</v>
      </c>
      <c r="L114" s="53" t="s">
        <v>63</v>
      </c>
      <c r="M114" s="52">
        <f>COUNTIFS(_TrackerTable35[Country],L$105,_TrackerTable35[Category],_USDashboardTable525[[#This Row],[Category]])</f>
        <v>0</v>
      </c>
      <c r="N114" s="51">
        <f>SUMIFS(_TrackerTable35[Market Value
(in USD)],_TrackerTable35[Country],L$105,_TrackerTable35[Category],_USDashboardTable525[[#This Row],[Category]])</f>
        <v>0</v>
      </c>
      <c r="O114" s="50">
        <f>IF(_USDashboardTable525[[#Totals],[Market Value (in USD)]]&gt;0,_USDashboardTable525[[#This Row],[Market Value (in USD)]]/_USDashboardTable525[[#Totals],[Market Value (in USD)]],0)</f>
        <v>0</v>
      </c>
      <c r="Q114" s="53" t="s">
        <v>63</v>
      </c>
      <c r="R114" s="52">
        <f>COUNTIFS(_TrackerTable35[Country],Q$105,_TrackerTable35[Category],_USDashboardTable5727[[#This Row],[Category]])</f>
        <v>0</v>
      </c>
      <c r="S114" s="51">
        <f>SUMIFS(_TrackerTable35[Market Value
(in USD)],_TrackerTable35[Country],Q$105,_TrackerTable35[Category],_USDashboardTable5727[[#This Row],[Category]])</f>
        <v>0</v>
      </c>
      <c r="T114" s="50">
        <f>IF(_USDashboardTable5727[[#Totals],[Market Value (in USD)]]&gt;0,_USDashboardTable5727[[#This Row],[Market Value (in USD)]]/_USDashboardTable5727[[#Totals],[Market Value (in USD)]],0)</f>
        <v>0</v>
      </c>
      <c r="V114" s="53" t="s">
        <v>63</v>
      </c>
      <c r="W114" s="52">
        <f>COUNTIFS(_TrackerTable35[Country],V$105,_TrackerTable35[Category],_USDashboardTable571433[[#This Row],[Category]])</f>
        <v>0</v>
      </c>
      <c r="X114" s="51">
        <f>SUMIFS(_TrackerTable35[Market Value
(in USD)],_TrackerTable35[Country],V$105,_TrackerTable35[Category],_USDashboardTable571433[[#This Row],[Category]])</f>
        <v>0</v>
      </c>
      <c r="Y114" s="50">
        <f>IF(_USDashboardTable571433[[#Totals],[Market Value (in USD)]]&gt;0,_USDashboardTable571433[[#This Row],[Market Value (in USD)]]/_USDashboardTable571433[[#Totals],[Market Value (in USD)]],0)</f>
        <v>0</v>
      </c>
    </row>
    <row r="115" spans="2:25" ht="35.25" customHeight="1" outlineLevel="1" x14ac:dyDescent="0.2">
      <c r="B115" s="53" t="s">
        <v>242</v>
      </c>
      <c r="C115" s="52">
        <f>COUNTIFS(_TrackerTable35[Category],_USDashboardTable5626[[#This Row],[Category]])</f>
        <v>0</v>
      </c>
      <c r="D115" s="107">
        <f>SUMIFS(_TrackerTable35[Market Value
(in USD)],_TrackerTable35[Category],_USDashboardTable5626[[#This Row],[Category]])</f>
        <v>0</v>
      </c>
      <c r="E115" s="375">
        <f>IF(_USDashboardTable5626[[#Totals],[Market Value (in USD)]]&gt;0,_USDashboardTable5626[[#This Row],[Market Value (in USD)]]/_USDashboardTable5626[[#Totals],[Market Value (in USD)]],0)</f>
        <v>0</v>
      </c>
      <c r="G115" s="53" t="s">
        <v>242</v>
      </c>
      <c r="H115" s="376">
        <f>COUNTIFS(_TrackerTable35[Country],G$105,_TrackerTable35[Category],_USDashboardTable24[[#This Row],[Category]])</f>
        <v>0</v>
      </c>
      <c r="I115" s="377">
        <f>SUMIFS(_TrackerTable35[Market Value
(in USD)],_TrackerTable35[Country],G$105,_TrackerTable35[Category],_USDashboardTable24[[#This Row],[Category]])</f>
        <v>0</v>
      </c>
      <c r="J115" s="378">
        <f>IF(_USDashboardTable24[[#Totals],[Market Value (in USD)]]&gt;0,_USDashboardTable24[[#This Row],[Market Value (in USD)]]/_USDashboardTable24[[#Totals],[Market Value (in USD)]],0)</f>
        <v>0</v>
      </c>
      <c r="K115" s="59"/>
      <c r="L115" s="53" t="s">
        <v>242</v>
      </c>
      <c r="M115" s="376">
        <f>COUNTIFS(_TrackerTable35[Country],L$105,_TrackerTable35[Category],_USDashboardTable525[[#This Row],[Category]])</f>
        <v>0</v>
      </c>
      <c r="N115" s="377">
        <f>SUMIFS(_TrackerTable35[Market Value
(in USD)],_TrackerTable35[Country],L$105,_TrackerTable35[Category],_USDashboardTable525[[#This Row],[Category]])</f>
        <v>0</v>
      </c>
      <c r="O115" s="378">
        <f>IF(_USDashboardTable525[[#Totals],[Market Value (in USD)]]&gt;0,_USDashboardTable525[[#This Row],[Market Value (in USD)]]/_USDashboardTable525[[#Totals],[Market Value (in USD)]],0)</f>
        <v>0</v>
      </c>
      <c r="Q115" s="53" t="s">
        <v>242</v>
      </c>
      <c r="R115" s="376">
        <f>COUNTIFS(_TrackerTable35[Country],Q$105,_TrackerTable35[Category],_USDashboardTable5727[[#This Row],[Category]])</f>
        <v>0</v>
      </c>
      <c r="S115" s="377">
        <f>SUMIFS(_TrackerTable35[Market Value
(in USD)],_TrackerTable35[Country],Q$105,_TrackerTable35[Category],_USDashboardTable5727[[#This Row],[Category]])</f>
        <v>0</v>
      </c>
      <c r="T115" s="378">
        <f>IF(_USDashboardTable5727[[#Totals],[Market Value (in USD)]]&gt;0,_USDashboardTable5727[[#This Row],[Market Value (in USD)]]/_USDashboardTable5727[[#Totals],[Market Value (in USD)]],0)</f>
        <v>0</v>
      </c>
      <c r="V115" s="53" t="s">
        <v>242</v>
      </c>
      <c r="W115" s="376">
        <f>COUNTIFS(_TrackerTable35[Country],V$105,_TrackerTable35[Category],_USDashboardTable571433[[#This Row],[Category]])</f>
        <v>0</v>
      </c>
      <c r="X115" s="377">
        <f>SUMIFS(_TrackerTable35[Market Value
(in USD)],_TrackerTable35[Country],V$105,_TrackerTable35[Category],_USDashboardTable571433[[#This Row],[Category]])</f>
        <v>0</v>
      </c>
      <c r="Y115" s="378">
        <f>IF(_USDashboardTable571433[[#Totals],[Market Value (in USD)]]&gt;0,_USDashboardTable571433[[#This Row],[Market Value (in USD)]]/_USDashboardTable571433[[#Totals],[Market Value (in USD)]],0)</f>
        <v>0</v>
      </c>
    </row>
    <row r="116" spans="2:25" ht="35.25" customHeight="1" outlineLevel="1" x14ac:dyDescent="0.2">
      <c r="B116" s="108" t="s">
        <v>53</v>
      </c>
      <c r="C116" s="108">
        <f>SUBTOTAL(109,_USDashboardTable5626[Count])</f>
        <v>9</v>
      </c>
      <c r="D116" s="109">
        <f>SUBTOTAL(109,_USDashboardTable5626[Market Value (in USD)])</f>
        <v>53121.176569200783</v>
      </c>
      <c r="E116" s="110">
        <f>SUBTOTAL(109,_USDashboardTable5626[Percentage by Market Value])</f>
        <v>1</v>
      </c>
      <c r="G116" s="108" t="s">
        <v>53</v>
      </c>
      <c r="H116" s="108">
        <f>SUBTOTAL(109,_USDashboardTable24[Count])</f>
        <v>5</v>
      </c>
      <c r="I116" s="109">
        <f>SUBTOTAL(109,_USDashboardTable24[Market Value (in USD)])</f>
        <v>34070.480000000003</v>
      </c>
      <c r="J116" s="110">
        <f>SUBTOTAL(109,_USDashboardTable24[Percentage by Market Value])</f>
        <v>1</v>
      </c>
      <c r="K116" s="59"/>
      <c r="L116" s="108" t="s">
        <v>53</v>
      </c>
      <c r="M116" s="108">
        <f>SUBTOTAL(109,_USDashboardTable525[Count])</f>
        <v>3</v>
      </c>
      <c r="N116" s="109">
        <f>SUBTOTAL(109,_USDashboardTable525[Market Value (in USD)])</f>
        <v>16102.54842105263</v>
      </c>
      <c r="O116" s="110">
        <f>SUBTOTAL(109,_USDashboardTable525[Percentage by Market Value])</f>
        <v>1</v>
      </c>
      <c r="Q116" s="108" t="s">
        <v>53</v>
      </c>
      <c r="R116" s="108">
        <f>SUBTOTAL(109,_USDashboardTable5727[Count])</f>
        <v>1</v>
      </c>
      <c r="S116" s="109">
        <f>SUBTOTAL(109,_USDashboardTable5727[Market Value (in USD)])</f>
        <v>2948.1481481481478</v>
      </c>
      <c r="T116" s="110">
        <f>SUBTOTAL(109,_USDashboardTable5727[Percentage by Market Value])</f>
        <v>1</v>
      </c>
      <c r="V116" s="108" t="s">
        <v>53</v>
      </c>
      <c r="W116" s="108">
        <f>SUBTOTAL(109,_USDashboardTable571433[Count])</f>
        <v>0</v>
      </c>
      <c r="X116" s="109">
        <f>SUBTOTAL(109,_USDashboardTable571433[Market Value (in USD)])</f>
        <v>0</v>
      </c>
      <c r="Y116" s="110">
        <f>SUBTOTAL(109,_USDashboardTable571433[Percentage by Market Value])</f>
        <v>0</v>
      </c>
    </row>
    <row r="117" spans="2:25" outlineLevel="1" x14ac:dyDescent="0.2">
      <c r="B117" s="55"/>
      <c r="C117" s="55"/>
      <c r="D117" s="75"/>
      <c r="I117" s="58"/>
      <c r="J117" s="58"/>
      <c r="K117" s="59"/>
      <c r="L117" s="58"/>
      <c r="M117" s="57"/>
      <c r="N117" s="56"/>
      <c r="Q117" s="58"/>
      <c r="R117" s="57"/>
      <c r="S117" s="56"/>
      <c r="V117" s="58"/>
      <c r="W117" s="57"/>
      <c r="X117" s="56"/>
    </row>
    <row r="118" spans="2:25" outlineLevel="1" x14ac:dyDescent="0.2">
      <c r="B118" s="55"/>
      <c r="C118" s="55"/>
      <c r="I118" s="58"/>
      <c r="J118" s="58"/>
      <c r="K118" s="59"/>
      <c r="L118" s="58"/>
      <c r="M118" s="57"/>
      <c r="N118" s="56"/>
      <c r="Q118" s="58"/>
      <c r="R118" s="57"/>
      <c r="S118" s="56"/>
      <c r="V118" s="58"/>
      <c r="W118" s="57"/>
      <c r="X118" s="56"/>
    </row>
    <row r="119" spans="2:25" outlineLevel="1" x14ac:dyDescent="0.2">
      <c r="B119" s="55"/>
      <c r="C119" s="55"/>
      <c r="D119" s="75"/>
      <c r="I119" s="58"/>
      <c r="J119" s="58"/>
      <c r="L119" s="58"/>
      <c r="M119" s="57"/>
      <c r="N119" s="56"/>
      <c r="Q119" s="58"/>
      <c r="R119" s="57"/>
      <c r="S119" s="56"/>
      <c r="V119" s="58"/>
      <c r="W119" s="57"/>
      <c r="X119" s="56"/>
    </row>
    <row r="120" spans="2:25" outlineLevel="1" x14ac:dyDescent="0.2"/>
    <row r="121" spans="2:25" outlineLevel="1" x14ac:dyDescent="0.2">
      <c r="B121" s="55"/>
      <c r="C121" s="55"/>
      <c r="D121" s="75"/>
    </row>
    <row r="122" spans="2:25" outlineLevel="1" x14ac:dyDescent="0.2"/>
    <row r="123" spans="2:25" outlineLevel="1" x14ac:dyDescent="0.2">
      <c r="B123" s="55"/>
      <c r="C123" s="55"/>
      <c r="D123" s="75"/>
    </row>
    <row r="124" spans="2:25" outlineLevel="1" x14ac:dyDescent="0.2"/>
    <row r="125" spans="2:25" outlineLevel="1" x14ac:dyDescent="0.2"/>
    <row r="126" spans="2:25" outlineLevel="1" x14ac:dyDescent="0.2"/>
    <row r="127" spans="2:25" outlineLevel="1" x14ac:dyDescent="0.2"/>
    <row r="128" spans="2:25" outlineLevel="1" x14ac:dyDescent="0.2"/>
    <row r="129" outlineLevel="1" x14ac:dyDescent="0.2"/>
    <row r="130" outlineLevel="1" x14ac:dyDescent="0.2"/>
    <row r="131" outlineLevel="1" x14ac:dyDescent="0.2"/>
    <row r="132" outlineLevel="1" x14ac:dyDescent="0.2"/>
    <row r="133" outlineLevel="1" x14ac:dyDescent="0.2"/>
    <row r="134" outlineLevel="1" x14ac:dyDescent="0.2"/>
    <row r="135" outlineLevel="1" x14ac:dyDescent="0.2"/>
    <row r="136" outlineLevel="1" x14ac:dyDescent="0.2"/>
    <row r="137" outlineLevel="1" x14ac:dyDescent="0.2"/>
    <row r="138" outlineLevel="1" x14ac:dyDescent="0.2"/>
    <row r="139" outlineLevel="1" x14ac:dyDescent="0.2"/>
    <row r="140" outlineLevel="1" x14ac:dyDescent="0.2"/>
    <row r="141" outlineLevel="1" x14ac:dyDescent="0.2"/>
    <row r="142" outlineLevel="1" x14ac:dyDescent="0.2"/>
    <row r="143" outlineLevel="1" x14ac:dyDescent="0.2"/>
    <row r="144" outlineLevel="1" x14ac:dyDescent="0.2"/>
    <row r="145" outlineLevel="1" x14ac:dyDescent="0.2"/>
    <row r="146" outlineLevel="1" x14ac:dyDescent="0.2"/>
    <row r="147" outlineLevel="1" x14ac:dyDescent="0.2"/>
    <row r="148" outlineLevel="1" x14ac:dyDescent="0.2"/>
    <row r="149" outlineLevel="1" x14ac:dyDescent="0.2"/>
    <row r="150" outlineLevel="1" x14ac:dyDescent="0.2"/>
    <row r="151" outlineLevel="1" x14ac:dyDescent="0.2"/>
    <row r="152" outlineLevel="1" x14ac:dyDescent="0.2"/>
    <row r="153" outlineLevel="1" x14ac:dyDescent="0.2"/>
    <row r="154" outlineLevel="1" x14ac:dyDescent="0.2"/>
    <row r="155" outlineLevel="1" x14ac:dyDescent="0.2"/>
    <row r="156" outlineLevel="1" x14ac:dyDescent="0.2"/>
    <row r="157" outlineLevel="1" x14ac:dyDescent="0.2"/>
    <row r="158" outlineLevel="1" x14ac:dyDescent="0.2"/>
    <row r="159" outlineLevel="1" x14ac:dyDescent="0.2"/>
    <row r="160" outlineLevel="1" x14ac:dyDescent="0.2"/>
    <row r="161" spans="2:25" outlineLevel="1" x14ac:dyDescent="0.2"/>
    <row r="162" spans="2:25" outlineLevel="1" x14ac:dyDescent="0.2"/>
    <row r="163" spans="2:25" outlineLevel="1" x14ac:dyDescent="0.2"/>
    <row r="164" spans="2:25" outlineLevel="1" x14ac:dyDescent="0.2"/>
    <row r="165" spans="2:25" outlineLevel="1" x14ac:dyDescent="0.2"/>
    <row r="168" spans="2:25" s="78" customFormat="1" ht="26" customHeight="1" outlineLevel="1" x14ac:dyDescent="0.3">
      <c r="B168" s="81" t="s">
        <v>190</v>
      </c>
      <c r="C168" s="54"/>
      <c r="D168" s="60"/>
      <c r="E168" s="63"/>
      <c r="G168" s="60"/>
      <c r="H168" s="60"/>
      <c r="I168" s="62"/>
      <c r="J168" s="62"/>
      <c r="L168" s="60"/>
      <c r="M168" s="60"/>
      <c r="N168" s="61"/>
      <c r="O168" s="60"/>
      <c r="Q168" s="60"/>
      <c r="R168" s="60"/>
      <c r="S168" s="61"/>
      <c r="T168" s="60"/>
      <c r="V168" s="60"/>
      <c r="W168" s="60"/>
      <c r="X168" s="61"/>
      <c r="Y168" s="60"/>
    </row>
    <row r="169" spans="2:25" s="77" customFormat="1" ht="26" customHeight="1" outlineLevel="1" x14ac:dyDescent="0.15">
      <c r="B169" s="80" t="s">
        <v>53</v>
      </c>
      <c r="C169" s="80"/>
      <c r="D169" s="78"/>
      <c r="E169" s="79"/>
      <c r="G169" s="80" t="s">
        <v>57</v>
      </c>
      <c r="H169" s="78"/>
      <c r="I169" s="78"/>
      <c r="J169" s="79"/>
      <c r="L169" s="80" t="s">
        <v>191</v>
      </c>
      <c r="M169" s="78"/>
      <c r="N169" s="78"/>
      <c r="O169" s="79"/>
      <c r="Q169" s="80" t="s">
        <v>56</v>
      </c>
      <c r="R169" s="78"/>
      <c r="S169" s="78"/>
      <c r="T169" s="79"/>
      <c r="V169" s="80" t="s">
        <v>262</v>
      </c>
      <c r="W169" s="78"/>
      <c r="X169" s="78"/>
      <c r="Y169" s="79"/>
    </row>
    <row r="170" spans="2:25" s="76" customFormat="1" ht="35.25" customHeight="1" outlineLevel="1" x14ac:dyDescent="0.15">
      <c r="B170" s="73" t="s">
        <v>96</v>
      </c>
      <c r="C170" s="73" t="s">
        <v>60</v>
      </c>
      <c r="D170" s="73" t="s">
        <v>59</v>
      </c>
      <c r="E170" s="72" t="s">
        <v>58</v>
      </c>
      <c r="G170" s="73" t="s">
        <v>96</v>
      </c>
      <c r="H170" s="73" t="s">
        <v>60</v>
      </c>
      <c r="I170" s="73" t="s">
        <v>59</v>
      </c>
      <c r="J170" s="72" t="s">
        <v>58</v>
      </c>
      <c r="L170" s="73" t="s">
        <v>96</v>
      </c>
      <c r="M170" s="73" t="s">
        <v>60</v>
      </c>
      <c r="N170" s="73" t="s">
        <v>59</v>
      </c>
      <c r="O170" s="72" t="s">
        <v>58</v>
      </c>
      <c r="Q170" s="73" t="s">
        <v>96</v>
      </c>
      <c r="R170" s="73" t="s">
        <v>60</v>
      </c>
      <c r="S170" s="73" t="s">
        <v>59</v>
      </c>
      <c r="T170" s="72" t="s">
        <v>58</v>
      </c>
      <c r="V170" s="73" t="s">
        <v>96</v>
      </c>
      <c r="W170" s="73" t="s">
        <v>60</v>
      </c>
      <c r="X170" s="73" t="s">
        <v>59</v>
      </c>
      <c r="Y170" s="72" t="s">
        <v>58</v>
      </c>
    </row>
    <row r="171" spans="2:25" s="76" customFormat="1" ht="35.25" customHeight="1" outlineLevel="1" x14ac:dyDescent="0.15">
      <c r="B171" s="64" t="s">
        <v>119</v>
      </c>
      <c r="C171" s="52">
        <f>COUNTIFS(_TrackerTable35[Sector],_USDashboardTable56265[[#This Row],[Sector]])</f>
        <v>2</v>
      </c>
      <c r="D171" s="107">
        <f>SUMIFS(_TrackerTable35[Market Value
(in USD)],_TrackerTable35[Sector],_USDashboardTable56265[[#This Row],[Sector]])</f>
        <v>16256.160154043646</v>
      </c>
      <c r="E171" s="50">
        <f>IF(_USDashboardTable56265[[#Totals],[Market Value (in USD)]]&gt;0,_USDashboardTable56265[[#This Row],[Market Value (in USD)]]/_USDashboardTable56265[[#Totals],[Market Value (in USD)]],0)</f>
        <v>0.30602033320679184</v>
      </c>
      <c r="G171" s="64" t="s">
        <v>119</v>
      </c>
      <c r="H171" s="52">
        <f>COUNTIFS(_TrackerTable35[Country],G$169,_TrackerTable35[Sector],_USDashboardTable243[[#This Row],[Sector]])</f>
        <v>1</v>
      </c>
      <c r="I171" s="107">
        <f>SUMIFS(_TrackerTable35[Market Value
(in USD)],_TrackerTable35[Country],G$169,_TrackerTable35[Sector],_USDashboardTable243[[#This Row],[Sector]])</f>
        <v>11314.44</v>
      </c>
      <c r="J171" s="50">
        <f>IF(_USDashboardTable243[[#Totals],[Market Value (in USD)]]&gt;0,_USDashboardTable243[[#This Row],[Market Value (in USD)]]/_USDashboardTable243[[#Totals],[Market Value (in USD)]],0)</f>
        <v>0.3320892455873824</v>
      </c>
      <c r="L171" s="64" t="s">
        <v>119</v>
      </c>
      <c r="M171" s="52">
        <f>COUNTIFS(_TrackerTable35[Country],L$169,_TrackerTable35[Sector],_USDashboardTable5254[[#This Row],[Sector]])</f>
        <v>1</v>
      </c>
      <c r="N171" s="51">
        <f>SUMIFS(_TrackerTable35[Market Value
(in USD)],_TrackerTable35[Country],L$169,_TrackerTable35[Sector],_USDashboardTable5254[[#This Row],[Sector]])</f>
        <v>4941.7201540436454</v>
      </c>
      <c r="O171" s="50">
        <f>IF(_USDashboardTable5254[[#Totals],[Market Value (in USD)]]&gt;0,_USDashboardTable5254[[#This Row],[Market Value (in USD)]]/_USDashboardTable5254[[#Totals],[Market Value (in USD)]],0)</f>
        <v>0.30689056320941049</v>
      </c>
      <c r="Q171" s="64" t="s">
        <v>119</v>
      </c>
      <c r="R171" s="52">
        <f>COUNTIFS(_TrackerTable35[Country],Q$169,_TrackerTable35[Sector],_USDashboardTable57276[[#This Row],[Sector]])</f>
        <v>0</v>
      </c>
      <c r="S171" s="51">
        <f>SUMIFS(_TrackerTable35[Market Value
(in USD)],_TrackerTable35[Country],Q$169,_TrackerTable35[Sector],_USDashboardTable57276[[#This Row],[Sector]])</f>
        <v>0</v>
      </c>
      <c r="T171" s="50">
        <f>IF(_USDashboardTable57276[[#Totals],[Market Value (in USD)]]&gt;0,_USDashboardTable57276[[#This Row],[Market Value (in USD)]]/_USDashboardTable57276[[#Totals],[Market Value (in USD)]],0)</f>
        <v>0</v>
      </c>
      <c r="V171" s="64" t="s">
        <v>119</v>
      </c>
      <c r="W171" s="52">
        <f>COUNTIFS(_TrackerTable35[Country],V$169,_TrackerTable35[Sector],_USDashboardTable5714337[[#This Row],[Sector]])</f>
        <v>0</v>
      </c>
      <c r="X171" s="51">
        <f>SUMIFS(_TrackerTable35[Market Value
(in USD)],_TrackerTable35[Country],V$169,_TrackerTable35[Sector],_USDashboardTable5714337[[#This Row],[Sector]])</f>
        <v>0</v>
      </c>
      <c r="Y171" s="50">
        <f>IF(_USDashboardTable5714337[[#Totals],[Market Value (in USD)]]&gt;0,_USDashboardTable5714337[[#This Row],[Market Value (in USD)]]/_USDashboardTable5714337[[#Totals],[Market Value (in USD)]],0)</f>
        <v>0</v>
      </c>
    </row>
    <row r="172" spans="2:25" s="76" customFormat="1" ht="35.25" customHeight="1" outlineLevel="1" x14ac:dyDescent="0.15">
      <c r="B172" s="64" t="s">
        <v>118</v>
      </c>
      <c r="C172" s="52">
        <f>COUNTIFS(_TrackerTable35[Sector],_USDashboardTable56265[[#This Row],[Sector]])</f>
        <v>1</v>
      </c>
      <c r="D172" s="107">
        <f>SUMIFS(_TrackerTable35[Market Value
(in USD)],_TrackerTable35[Sector],_USDashboardTable56265[[#This Row],[Sector]])</f>
        <v>5205.6482670089854</v>
      </c>
      <c r="E172" s="50">
        <f>IF(_USDashboardTable56265[[#Totals],[Market Value (in USD)]]&gt;0,_USDashboardTable56265[[#This Row],[Market Value (in USD)]]/_USDashboardTable56265[[#Totals],[Market Value (in USD)]],0)</f>
        <v>9.7995726059034186E-2</v>
      </c>
      <c r="G172" s="64" t="s">
        <v>118</v>
      </c>
      <c r="H172" s="52">
        <f>COUNTIFS(_TrackerTable35[Country],G$169,_TrackerTable35[Sector],_USDashboardTable243[[#This Row],[Sector]])</f>
        <v>0</v>
      </c>
      <c r="I172" s="107">
        <f>SUMIFS(_TrackerTable35[Market Value
(in USD)],_TrackerTable35[Country],G$169,_TrackerTable35[Sector],_USDashboardTable243[[#This Row],[Sector]])</f>
        <v>0</v>
      </c>
      <c r="J172" s="50">
        <f>IF(_USDashboardTable243[[#Totals],[Market Value (in USD)]]&gt;0,_USDashboardTable243[[#This Row],[Market Value (in USD)]]/_USDashboardTable243[[#Totals],[Market Value (in USD)]],0)</f>
        <v>0</v>
      </c>
      <c r="L172" s="64" t="s">
        <v>118</v>
      </c>
      <c r="M172" s="52">
        <f>COUNTIFS(_TrackerTable35[Country],L$169,_TrackerTable35[Sector],_USDashboardTable5254[[#This Row],[Sector]])</f>
        <v>1</v>
      </c>
      <c r="N172" s="51">
        <f>SUMIFS(_TrackerTable35[Market Value
(in USD)],_TrackerTable35[Country],L$169,_TrackerTable35[Sector],_USDashboardTable5254[[#This Row],[Sector]])</f>
        <v>5205.6482670089854</v>
      </c>
      <c r="O172" s="50">
        <f>IF(_USDashboardTable5254[[#Totals],[Market Value (in USD)]]&gt;0,_USDashboardTable5254[[#This Row],[Market Value (in USD)]]/_USDashboardTable5254[[#Totals],[Market Value (in USD)]],0)</f>
        <v>0.32328101930766867</v>
      </c>
      <c r="Q172" s="64" t="s">
        <v>118</v>
      </c>
      <c r="R172" s="52">
        <f>COUNTIFS(_TrackerTable35[Country],Q$169,_TrackerTable35[Sector],_USDashboardTable57276[[#This Row],[Sector]])</f>
        <v>0</v>
      </c>
      <c r="S172" s="51">
        <f>SUMIFS(_TrackerTable35[Market Value
(in USD)],_TrackerTable35[Country],Q$169,_TrackerTable35[Sector],_USDashboardTable57276[[#This Row],[Sector]])</f>
        <v>0</v>
      </c>
      <c r="T172" s="50">
        <f>IF(_USDashboardTable57276[[#Totals],[Market Value (in USD)]]&gt;0,_USDashboardTable57276[[#This Row],[Market Value (in USD)]]/_USDashboardTable57276[[#Totals],[Market Value (in USD)]],0)</f>
        <v>0</v>
      </c>
      <c r="V172" s="64" t="s">
        <v>118</v>
      </c>
      <c r="W172" s="52">
        <f>COUNTIFS(_TrackerTable35[Country],V$169,_TrackerTable35[Sector],_USDashboardTable5714337[[#This Row],[Sector]])</f>
        <v>0</v>
      </c>
      <c r="X172" s="51">
        <f>SUMIFS(_TrackerTable35[Market Value
(in USD)],_TrackerTable35[Country],V$169,_TrackerTable35[Sector],_USDashboardTable5714337[[#This Row],[Sector]])</f>
        <v>0</v>
      </c>
      <c r="Y172" s="50">
        <f>IF(_USDashboardTable5714337[[#Totals],[Market Value (in USD)]]&gt;0,_USDashboardTable5714337[[#This Row],[Market Value (in USD)]]/_USDashboardTable5714337[[#Totals],[Market Value (in USD)]],0)</f>
        <v>0</v>
      </c>
    </row>
    <row r="173" spans="2:25" s="76" customFormat="1" ht="35.25" customHeight="1" outlineLevel="1" x14ac:dyDescent="0.15">
      <c r="B173" s="64" t="s">
        <v>117</v>
      </c>
      <c r="C173" s="52">
        <f>COUNTIFS(_TrackerTable35[Sector],_USDashboardTable56265[[#This Row],[Sector]])</f>
        <v>1</v>
      </c>
      <c r="D173" s="107">
        <f>SUMIFS(_TrackerTable35[Market Value
(in USD)],_TrackerTable35[Sector],_USDashboardTable56265[[#This Row],[Sector]])</f>
        <v>6783.92</v>
      </c>
      <c r="E173" s="50">
        <f>IF(_USDashboardTable56265[[#Totals],[Market Value (in USD)]]&gt;0,_USDashboardTable56265[[#This Row],[Market Value (in USD)]]/_USDashboardTable56265[[#Totals],[Market Value (in USD)]],0)</f>
        <v>0.12770650874350664</v>
      </c>
      <c r="G173" s="64" t="s">
        <v>117</v>
      </c>
      <c r="H173" s="52">
        <f>COUNTIFS(_TrackerTable35[Country],G$169,_TrackerTable35[Sector],_USDashboardTable243[[#This Row],[Sector]])</f>
        <v>1</v>
      </c>
      <c r="I173" s="107">
        <f>SUMIFS(_TrackerTable35[Market Value
(in USD)],_TrackerTable35[Country],G$169,_TrackerTable35[Sector],_USDashboardTable243[[#This Row],[Sector]])</f>
        <v>6783.92</v>
      </c>
      <c r="J173" s="50">
        <f>IF(_USDashboardTable243[[#Totals],[Market Value (in USD)]]&gt;0,_USDashboardTable243[[#This Row],[Market Value (in USD)]]/_USDashboardTable243[[#Totals],[Market Value (in USD)]],0)</f>
        <v>0.19911430657859824</v>
      </c>
      <c r="L173" s="64" t="s">
        <v>117</v>
      </c>
      <c r="M173" s="52">
        <f>COUNTIFS(_TrackerTable35[Country],L$169,_TrackerTable35[Sector],_USDashboardTable5254[[#This Row],[Sector]])</f>
        <v>0</v>
      </c>
      <c r="N173" s="51">
        <f>SUMIFS(_TrackerTable35[Market Value
(in USD)],_TrackerTable35[Country],L$169,_TrackerTable35[Sector],_USDashboardTable5254[[#This Row],[Sector]])</f>
        <v>0</v>
      </c>
      <c r="O173" s="50">
        <f>IF(_USDashboardTable5254[[#Totals],[Market Value (in USD)]]&gt;0,_USDashboardTable5254[[#This Row],[Market Value (in USD)]]/_USDashboardTable5254[[#Totals],[Market Value (in USD)]],0)</f>
        <v>0</v>
      </c>
      <c r="Q173" s="64" t="s">
        <v>117</v>
      </c>
      <c r="R173" s="52">
        <f>COUNTIFS(_TrackerTable35[Country],Q$169,_TrackerTable35[Sector],_USDashboardTable57276[[#This Row],[Sector]])</f>
        <v>0</v>
      </c>
      <c r="S173" s="51">
        <f>SUMIFS(_TrackerTable35[Market Value
(in USD)],_TrackerTable35[Country],Q$169,_TrackerTable35[Sector],_USDashboardTable57276[[#This Row],[Sector]])</f>
        <v>0</v>
      </c>
      <c r="T173" s="50">
        <f>IF(_USDashboardTable57276[[#Totals],[Market Value (in USD)]]&gt;0,_USDashboardTable57276[[#This Row],[Market Value (in USD)]]/_USDashboardTable57276[[#Totals],[Market Value (in USD)]],0)</f>
        <v>0</v>
      </c>
      <c r="V173" s="64" t="s">
        <v>117</v>
      </c>
      <c r="W173" s="52">
        <f>COUNTIFS(_TrackerTable35[Country],V$169,_TrackerTable35[Sector],_USDashboardTable5714337[[#This Row],[Sector]])</f>
        <v>0</v>
      </c>
      <c r="X173" s="51">
        <f>SUMIFS(_TrackerTable35[Market Value
(in USD)],_TrackerTable35[Country],V$169,_TrackerTable35[Sector],_USDashboardTable5714337[[#This Row],[Sector]])</f>
        <v>0</v>
      </c>
      <c r="Y173" s="50">
        <f>IF(_USDashboardTable5714337[[#Totals],[Market Value (in USD)]]&gt;0,_USDashboardTable5714337[[#This Row],[Market Value (in USD)]]/_USDashboardTable5714337[[#Totals],[Market Value (in USD)]],0)</f>
        <v>0</v>
      </c>
    </row>
    <row r="174" spans="2:25" s="76" customFormat="1" ht="35.25" customHeight="1" outlineLevel="1" x14ac:dyDescent="0.15">
      <c r="B174" s="64" t="s">
        <v>194</v>
      </c>
      <c r="C174" s="52">
        <f>COUNTIFS(_TrackerTable35[Sector],_USDashboardTable56265[[#This Row],[Sector]])</f>
        <v>1</v>
      </c>
      <c r="D174" s="107">
        <f>SUMIFS(_TrackerTable35[Market Value
(in USD)],_TrackerTable35[Sector],_USDashboardTable56265[[#This Row],[Sector]])</f>
        <v>5955.18</v>
      </c>
      <c r="E174" s="50">
        <f>IF(_USDashboardTable56265[[#Totals],[Market Value (in USD)]]&gt;0,_USDashboardTable56265[[#This Row],[Market Value (in USD)]]/_USDashboardTable56265[[#Totals],[Market Value (in USD)]],0)</f>
        <v>0.11210557417233044</v>
      </c>
      <c r="G174" s="64" t="s">
        <v>194</v>
      </c>
      <c r="H174" s="52">
        <f>COUNTIFS(_TrackerTable35[Country],G$169,_TrackerTable35[Sector],_USDashboardTable243[[#This Row],[Sector]])</f>
        <v>0</v>
      </c>
      <c r="I174" s="107">
        <f>SUMIFS(_TrackerTable35[Market Value
(in USD)],_TrackerTable35[Country],G$169,_TrackerTable35[Sector],_USDashboardTable243[[#This Row],[Sector]])</f>
        <v>0</v>
      </c>
      <c r="J174" s="50">
        <f>IF(_USDashboardTable243[[#Totals],[Market Value (in USD)]]&gt;0,_USDashboardTable243[[#This Row],[Market Value (in USD)]]/_USDashboardTable243[[#Totals],[Market Value (in USD)]],0)</f>
        <v>0</v>
      </c>
      <c r="L174" s="64" t="s">
        <v>194</v>
      </c>
      <c r="M174" s="52">
        <f>COUNTIFS(_TrackerTable35[Country],L$169,_TrackerTable35[Sector],_USDashboardTable5254[[#This Row],[Sector]])</f>
        <v>1</v>
      </c>
      <c r="N174" s="51">
        <f>SUMIFS(_TrackerTable35[Market Value
(in USD)],_TrackerTable35[Country],L$169,_TrackerTable35[Sector],_USDashboardTable5254[[#This Row],[Sector]])</f>
        <v>5955.18</v>
      </c>
      <c r="O174" s="50">
        <f>IF(_USDashboardTable5254[[#Totals],[Market Value (in USD)]]&gt;0,_USDashboardTable5254[[#This Row],[Market Value (in USD)]]/_USDashboardTable5254[[#Totals],[Market Value (in USD)]],0)</f>
        <v>0.36982841748292089</v>
      </c>
      <c r="Q174" s="64" t="s">
        <v>194</v>
      </c>
      <c r="R174" s="52">
        <f>COUNTIFS(_TrackerTable35[Country],Q$169,_TrackerTable35[Sector],_USDashboardTable57276[[#This Row],[Sector]])</f>
        <v>0</v>
      </c>
      <c r="S174" s="51">
        <f>SUMIFS(_TrackerTable35[Market Value
(in USD)],_TrackerTable35[Country],Q$169,_TrackerTable35[Sector],_USDashboardTable57276[[#This Row],[Sector]])</f>
        <v>0</v>
      </c>
      <c r="T174" s="50">
        <f>IF(_USDashboardTable57276[[#Totals],[Market Value (in USD)]]&gt;0,_USDashboardTable57276[[#This Row],[Market Value (in USD)]]/_USDashboardTable57276[[#Totals],[Market Value (in USD)]],0)</f>
        <v>0</v>
      </c>
      <c r="V174" s="64" t="s">
        <v>194</v>
      </c>
      <c r="W174" s="52">
        <f>COUNTIFS(_TrackerTable35[Country],V$169,_TrackerTable35[Sector],_USDashboardTable5714337[[#This Row],[Sector]])</f>
        <v>0</v>
      </c>
      <c r="X174" s="51">
        <f>SUMIFS(_TrackerTable35[Market Value
(in USD)],_TrackerTable35[Country],V$169,_TrackerTable35[Sector],_USDashboardTable5714337[[#This Row],[Sector]])</f>
        <v>0</v>
      </c>
      <c r="Y174" s="50">
        <f>IF(_USDashboardTable5714337[[#Totals],[Market Value (in USD)]]&gt;0,_USDashboardTable5714337[[#This Row],[Market Value (in USD)]]/_USDashboardTable5714337[[#Totals],[Market Value (in USD)]],0)</f>
        <v>0</v>
      </c>
    </row>
    <row r="175" spans="2:25" s="76" customFormat="1" ht="35.25" customHeight="1" outlineLevel="1" x14ac:dyDescent="0.15">
      <c r="B175" s="64" t="s">
        <v>116</v>
      </c>
      <c r="C175" s="52">
        <f>COUNTIFS(_TrackerTable35[Sector],_USDashboardTable56265[[#This Row],[Sector]])</f>
        <v>0</v>
      </c>
      <c r="D175" s="107">
        <f>SUMIFS(_TrackerTable35[Market Value
(in USD)],_TrackerTable35[Sector],_USDashboardTable56265[[#This Row],[Sector]])</f>
        <v>0</v>
      </c>
      <c r="E175" s="50">
        <f>IF(_USDashboardTable56265[[#Totals],[Market Value (in USD)]]&gt;0,_USDashboardTable56265[[#This Row],[Market Value (in USD)]]/_USDashboardTable56265[[#Totals],[Market Value (in USD)]],0)</f>
        <v>0</v>
      </c>
      <c r="G175" s="64" t="s">
        <v>116</v>
      </c>
      <c r="H175" s="52">
        <f>COUNTIFS(_TrackerTable35[Country],G$169,_TrackerTable35[Sector],_USDashboardTable243[[#This Row],[Sector]])</f>
        <v>0</v>
      </c>
      <c r="I175" s="107">
        <f>SUMIFS(_TrackerTable35[Market Value
(in USD)],_TrackerTable35[Country],G$169,_TrackerTable35[Sector],_USDashboardTable243[[#This Row],[Sector]])</f>
        <v>0</v>
      </c>
      <c r="J175" s="50">
        <f>IF(_USDashboardTable243[[#Totals],[Market Value (in USD)]]&gt;0,_USDashboardTable243[[#This Row],[Market Value (in USD)]]/_USDashboardTable243[[#Totals],[Market Value (in USD)]],0)</f>
        <v>0</v>
      </c>
      <c r="L175" s="64" t="s">
        <v>116</v>
      </c>
      <c r="M175" s="52">
        <f>COUNTIFS(_TrackerTable35[Country],L$169,_TrackerTable35[Sector],_USDashboardTable5254[[#This Row],[Sector]])</f>
        <v>0</v>
      </c>
      <c r="N175" s="51">
        <f>SUMIFS(_TrackerTable35[Market Value
(in USD)],_TrackerTable35[Country],L$169,_TrackerTable35[Sector],_USDashboardTable5254[[#This Row],[Sector]])</f>
        <v>0</v>
      </c>
      <c r="O175" s="50">
        <f>IF(_USDashboardTable5254[[#Totals],[Market Value (in USD)]]&gt;0,_USDashboardTable5254[[#This Row],[Market Value (in USD)]]/_USDashboardTable5254[[#Totals],[Market Value (in USD)]],0)</f>
        <v>0</v>
      </c>
      <c r="Q175" s="64" t="s">
        <v>116</v>
      </c>
      <c r="R175" s="52">
        <f>COUNTIFS(_TrackerTable35[Country],Q$169,_TrackerTable35[Sector],_USDashboardTable57276[[#This Row],[Sector]])</f>
        <v>0</v>
      </c>
      <c r="S175" s="51">
        <f>SUMIFS(_TrackerTable35[Market Value
(in USD)],_TrackerTable35[Country],Q$169,_TrackerTable35[Sector],_USDashboardTable57276[[#This Row],[Sector]])</f>
        <v>0</v>
      </c>
      <c r="T175" s="50">
        <f>IF(_USDashboardTable57276[[#Totals],[Market Value (in USD)]]&gt;0,_USDashboardTable57276[[#This Row],[Market Value (in USD)]]/_USDashboardTable57276[[#Totals],[Market Value (in USD)]],0)</f>
        <v>0</v>
      </c>
      <c r="V175" s="64" t="s">
        <v>116</v>
      </c>
      <c r="W175" s="52">
        <f>COUNTIFS(_TrackerTable35[Country],V$169,_TrackerTable35[Sector],_USDashboardTable5714337[[#This Row],[Sector]])</f>
        <v>0</v>
      </c>
      <c r="X175" s="51">
        <f>SUMIFS(_TrackerTable35[Market Value
(in USD)],_TrackerTable35[Country],V$169,_TrackerTable35[Sector],_USDashboardTable5714337[[#This Row],[Sector]])</f>
        <v>0</v>
      </c>
      <c r="Y175" s="50">
        <f>IF(_USDashboardTable5714337[[#Totals],[Market Value (in USD)]]&gt;0,_USDashboardTable5714337[[#This Row],[Market Value (in USD)]]/_USDashboardTable5714337[[#Totals],[Market Value (in USD)]],0)</f>
        <v>0</v>
      </c>
    </row>
    <row r="176" spans="2:25" s="76" customFormat="1" ht="35.25" customHeight="1" outlineLevel="1" x14ac:dyDescent="0.15">
      <c r="B176" s="64" t="s">
        <v>52</v>
      </c>
      <c r="C176" s="52">
        <f>COUNTIFS(_TrackerTable35[Sector],_USDashboardTable56265[[#This Row],[Sector]])</f>
        <v>1</v>
      </c>
      <c r="D176" s="51">
        <f>SUMIFS(_TrackerTable35[Market Value
(in USD)],_TrackerTable35[Sector],_USDashboardTable56265[[#This Row],[Sector]])</f>
        <v>6785.4000000000005</v>
      </c>
      <c r="E176" s="50">
        <f>IF(_USDashboardTable56265[[#Totals],[Market Value (in USD)]]&gt;0,_USDashboardTable56265[[#This Row],[Market Value (in USD)]]/_USDashboardTable56265[[#Totals],[Market Value (in USD)]],0)</f>
        <v>0.12773436957219278</v>
      </c>
      <c r="G176" s="64" t="s">
        <v>52</v>
      </c>
      <c r="H176" s="52">
        <f>COUNTIFS(_TrackerTable35[Country],G$169,_TrackerTable35[Sector],_USDashboardTable243[[#This Row],[Sector]])</f>
        <v>1</v>
      </c>
      <c r="I176" s="107">
        <f>SUMIFS(_TrackerTable35[Market Value
(in USD)],_TrackerTable35[Country],G$169,_TrackerTable35[Sector],_USDashboardTable243[[#This Row],[Sector]])</f>
        <v>6785.4000000000005</v>
      </c>
      <c r="J176" s="50">
        <f>IF(_USDashboardTable243[[#Totals],[Market Value (in USD)]]&gt;0,_USDashboardTable243[[#This Row],[Market Value (in USD)]]/_USDashboardTable243[[#Totals],[Market Value (in USD)]],0)</f>
        <v>0.19915774594311556</v>
      </c>
      <c r="L176" s="64" t="s">
        <v>52</v>
      </c>
      <c r="M176" s="52">
        <f>COUNTIFS(_TrackerTable35[Country],L$169,_TrackerTable35[Sector],_USDashboardTable5254[[#This Row],[Sector]])</f>
        <v>0</v>
      </c>
      <c r="N176" s="51">
        <f>SUMIFS(_TrackerTable35[Market Value
(in USD)],_TrackerTable35[Country],L$169,_TrackerTable35[Sector],_USDashboardTable5254[[#This Row],[Sector]])</f>
        <v>0</v>
      </c>
      <c r="O176" s="50">
        <f>IF(_USDashboardTable5254[[#Totals],[Market Value (in USD)]]&gt;0,_USDashboardTable5254[[#This Row],[Market Value (in USD)]]/_USDashboardTable5254[[#Totals],[Market Value (in USD)]],0)</f>
        <v>0</v>
      </c>
      <c r="Q176" s="64" t="s">
        <v>52</v>
      </c>
      <c r="R176" s="52">
        <f>COUNTIFS(_TrackerTable35[Country],Q$169,_TrackerTable35[Sector],_USDashboardTable57276[[#This Row],[Sector]])</f>
        <v>0</v>
      </c>
      <c r="S176" s="51">
        <f>SUMIFS(_TrackerTable35[Market Value
(in USD)],_TrackerTable35[Country],Q$169,_TrackerTable35[Sector],_USDashboardTable57276[[#This Row],[Sector]])</f>
        <v>0</v>
      </c>
      <c r="T176" s="50">
        <f>IF(_USDashboardTable57276[[#Totals],[Market Value (in USD)]]&gt;0,_USDashboardTable57276[[#This Row],[Market Value (in USD)]]/_USDashboardTable57276[[#Totals],[Market Value (in USD)]],0)</f>
        <v>0</v>
      </c>
      <c r="V176" s="64" t="s">
        <v>52</v>
      </c>
      <c r="W176" s="52">
        <f>COUNTIFS(_TrackerTable35[Country],V$169,_TrackerTable35[Sector],_USDashboardTable5714337[[#This Row],[Sector]])</f>
        <v>0</v>
      </c>
      <c r="X176" s="51">
        <f>SUMIFS(_TrackerTable35[Market Value
(in USD)],_TrackerTable35[Country],V$169,_TrackerTable35[Sector],_USDashboardTable5714337[[#This Row],[Sector]])</f>
        <v>0</v>
      </c>
      <c r="Y176" s="50">
        <f>IF(_USDashboardTable5714337[[#Totals],[Market Value (in USD)]]&gt;0,_USDashboardTable5714337[[#This Row],[Market Value (in USD)]]/_USDashboardTable5714337[[#Totals],[Market Value (in USD)]],0)</f>
        <v>0</v>
      </c>
    </row>
    <row r="177" spans="2:25" s="76" customFormat="1" ht="35.25" customHeight="1" outlineLevel="1" x14ac:dyDescent="0.15">
      <c r="B177" s="64" t="s">
        <v>115</v>
      </c>
      <c r="C177" s="52">
        <f>COUNTIFS(_TrackerTable35[Sector],_USDashboardTable56265[[#This Row],[Sector]])</f>
        <v>1</v>
      </c>
      <c r="D177" s="51">
        <f>SUMIFS(_TrackerTable35[Market Value
(in USD)],_TrackerTable35[Sector],_USDashboardTable56265[[#This Row],[Sector]])</f>
        <v>5992.5</v>
      </c>
      <c r="E177" s="50">
        <f>IF(_USDashboardTable56265[[#Totals],[Market Value (in USD)]]&gt;0,_USDashboardTable56265[[#This Row],[Market Value (in USD)]]/_USDashboardTable56265[[#Totals],[Market Value (in USD)]],0)</f>
        <v>0.11280811885244277</v>
      </c>
      <c r="G177" s="64" t="s">
        <v>115</v>
      </c>
      <c r="H177" s="52">
        <f>COUNTIFS(_TrackerTable35[Country],G$169,_TrackerTable35[Sector],_USDashboardTable243[[#This Row],[Sector]])</f>
        <v>1</v>
      </c>
      <c r="I177" s="107">
        <f>SUMIFS(_TrackerTable35[Market Value
(in USD)],_TrackerTable35[Country],G$169,_TrackerTable35[Sector],_USDashboardTable243[[#This Row],[Sector]])</f>
        <v>5992.5</v>
      </c>
      <c r="J177" s="50">
        <f>IF(_USDashboardTable243[[#Totals],[Market Value (in USD)]]&gt;0,_USDashboardTable243[[#This Row],[Market Value (in USD)]]/_USDashboardTable243[[#Totals],[Market Value (in USD)]],0)</f>
        <v>0.17588539991218202</v>
      </c>
      <c r="L177" s="64" t="s">
        <v>115</v>
      </c>
      <c r="M177" s="52">
        <f>COUNTIFS(_TrackerTable35[Country],L$169,_TrackerTable35[Sector],_USDashboardTable5254[[#This Row],[Sector]])</f>
        <v>0</v>
      </c>
      <c r="N177" s="51">
        <f>SUMIFS(_TrackerTable35[Market Value
(in USD)],_TrackerTable35[Country],L$169,_TrackerTable35[Sector],_USDashboardTable5254[[#This Row],[Sector]])</f>
        <v>0</v>
      </c>
      <c r="O177" s="50">
        <f>IF(_USDashboardTable5254[[#Totals],[Market Value (in USD)]]&gt;0,_USDashboardTable5254[[#This Row],[Market Value (in USD)]]/_USDashboardTable5254[[#Totals],[Market Value (in USD)]],0)</f>
        <v>0</v>
      </c>
      <c r="Q177" s="64" t="s">
        <v>115</v>
      </c>
      <c r="R177" s="52">
        <f>COUNTIFS(_TrackerTable35[Country],Q$169,_TrackerTable35[Sector],_USDashboardTable57276[[#This Row],[Sector]])</f>
        <v>0</v>
      </c>
      <c r="S177" s="51">
        <f>SUMIFS(_TrackerTable35[Market Value
(in USD)],_TrackerTable35[Country],Q$169,_TrackerTable35[Sector],_USDashboardTable57276[[#This Row],[Sector]])</f>
        <v>0</v>
      </c>
      <c r="T177" s="50">
        <f>IF(_USDashboardTable57276[[#Totals],[Market Value (in USD)]]&gt;0,_USDashboardTable57276[[#This Row],[Market Value (in USD)]]/_USDashboardTable57276[[#Totals],[Market Value (in USD)]],0)</f>
        <v>0</v>
      </c>
      <c r="V177" s="64" t="s">
        <v>115</v>
      </c>
      <c r="W177" s="52">
        <f>COUNTIFS(_TrackerTable35[Country],V$169,_TrackerTable35[Sector],_USDashboardTable5714337[[#This Row],[Sector]])</f>
        <v>0</v>
      </c>
      <c r="X177" s="51">
        <f>SUMIFS(_TrackerTable35[Market Value
(in USD)],_TrackerTable35[Country],V$169,_TrackerTable35[Sector],_USDashboardTable5714337[[#This Row],[Sector]])</f>
        <v>0</v>
      </c>
      <c r="Y177" s="50">
        <f>IF(_USDashboardTable5714337[[#Totals],[Market Value (in USD)]]&gt;0,_USDashboardTable5714337[[#This Row],[Market Value (in USD)]]/_USDashboardTable5714337[[#Totals],[Market Value (in USD)]],0)</f>
        <v>0</v>
      </c>
    </row>
    <row r="178" spans="2:25" ht="35.25" customHeight="1" outlineLevel="1" x14ac:dyDescent="0.2">
      <c r="B178" s="64" t="s">
        <v>114</v>
      </c>
      <c r="C178" s="52">
        <f>COUNTIFS(_TrackerTable35[Sector],_USDashboardTable56265[[#This Row],[Sector]])</f>
        <v>0</v>
      </c>
      <c r="D178" s="51">
        <f>SUMIFS(_TrackerTable35[Market Value
(in USD)],_TrackerTable35[Sector],_USDashboardTable56265[[#This Row],[Sector]])</f>
        <v>0</v>
      </c>
      <c r="E178" s="50">
        <f>IF(_USDashboardTable56265[[#Totals],[Market Value (in USD)]]&gt;0,_USDashboardTable56265[[#This Row],[Market Value (in USD)]]/_USDashboardTable56265[[#Totals],[Market Value (in USD)]],0)</f>
        <v>0</v>
      </c>
      <c r="G178" s="64" t="s">
        <v>114</v>
      </c>
      <c r="H178" s="52">
        <f>COUNTIFS(_TrackerTable35[Country],G$169,_TrackerTable35[Sector],_USDashboardTable243[[#This Row],[Sector]])</f>
        <v>0</v>
      </c>
      <c r="I178" s="107">
        <f>SUMIFS(_TrackerTable35[Market Value
(in USD)],_TrackerTable35[Country],G$169,_TrackerTable35[Sector],_USDashboardTable243[[#This Row],[Sector]])</f>
        <v>0</v>
      </c>
      <c r="J178" s="50">
        <f>IF(_USDashboardTable243[[#Totals],[Market Value (in USD)]]&gt;0,_USDashboardTable243[[#This Row],[Market Value (in USD)]]/_USDashboardTable243[[#Totals],[Market Value (in USD)]],0)</f>
        <v>0</v>
      </c>
      <c r="K178" s="59"/>
      <c r="L178" s="64" t="s">
        <v>114</v>
      </c>
      <c r="M178" s="52">
        <f>COUNTIFS(_TrackerTable35[Country],L$169,_TrackerTable35[Sector],_USDashboardTable5254[[#This Row],[Sector]])</f>
        <v>0</v>
      </c>
      <c r="N178" s="51">
        <f>SUMIFS(_TrackerTable35[Market Value
(in USD)],_TrackerTable35[Country],L$169,_TrackerTable35[Sector],_USDashboardTable5254[[#This Row],[Sector]])</f>
        <v>0</v>
      </c>
      <c r="O178" s="50">
        <f>IF(_USDashboardTable5254[[#Totals],[Market Value (in USD)]]&gt;0,_USDashboardTable5254[[#This Row],[Market Value (in USD)]]/_USDashboardTable5254[[#Totals],[Market Value (in USD)]],0)</f>
        <v>0</v>
      </c>
      <c r="Q178" s="64" t="s">
        <v>114</v>
      </c>
      <c r="R178" s="52">
        <f>COUNTIFS(_TrackerTable35[Country],Q$169,_TrackerTable35[Sector],_USDashboardTable57276[[#This Row],[Sector]])</f>
        <v>0</v>
      </c>
      <c r="S178" s="51">
        <f>SUMIFS(_TrackerTable35[Market Value
(in USD)],_TrackerTable35[Country],Q$169,_TrackerTable35[Sector],_USDashboardTable57276[[#This Row],[Sector]])</f>
        <v>0</v>
      </c>
      <c r="T178" s="50">
        <f>IF(_USDashboardTable57276[[#Totals],[Market Value (in USD)]]&gt;0,_USDashboardTable57276[[#This Row],[Market Value (in USD)]]/_USDashboardTable57276[[#Totals],[Market Value (in USD)]],0)</f>
        <v>0</v>
      </c>
      <c r="V178" s="64" t="s">
        <v>114</v>
      </c>
      <c r="W178" s="52">
        <f>COUNTIFS(_TrackerTable35[Country],V$169,_TrackerTable35[Sector],_USDashboardTable5714337[[#This Row],[Sector]])</f>
        <v>0</v>
      </c>
      <c r="X178" s="51">
        <f>SUMIFS(_TrackerTable35[Market Value
(in USD)],_TrackerTable35[Country],V$169,_TrackerTable35[Sector],_USDashboardTable5714337[[#This Row],[Sector]])</f>
        <v>0</v>
      </c>
      <c r="Y178" s="50">
        <f>IF(_USDashboardTable5714337[[#Totals],[Market Value (in USD)]]&gt;0,_USDashboardTable5714337[[#This Row],[Market Value (in USD)]]/_USDashboardTable5714337[[#Totals],[Market Value (in USD)]],0)</f>
        <v>0</v>
      </c>
    </row>
    <row r="179" spans="2:25" ht="35.25" customHeight="1" outlineLevel="1" x14ac:dyDescent="0.2">
      <c r="B179" s="64" t="s">
        <v>113</v>
      </c>
      <c r="C179" s="52">
        <f>COUNTIFS(_TrackerTable35[Sector],_USDashboardTable56265[[#This Row],[Sector]])</f>
        <v>0</v>
      </c>
      <c r="D179" s="51">
        <f>SUMIFS(_TrackerTable35[Market Value
(in USD)],_TrackerTable35[Sector],_USDashboardTable56265[[#This Row],[Sector]])</f>
        <v>0</v>
      </c>
      <c r="E179" s="50">
        <f>IF(_USDashboardTable56265[[#Totals],[Market Value (in USD)]]&gt;0,_USDashboardTable56265[[#This Row],[Market Value (in USD)]]/_USDashboardTable56265[[#Totals],[Market Value (in USD)]],0)</f>
        <v>0</v>
      </c>
      <c r="G179" s="64" t="s">
        <v>113</v>
      </c>
      <c r="H179" s="52">
        <f>COUNTIFS(_TrackerTable35[Country],G$169,_TrackerTable35[Sector],_USDashboardTable243[[#This Row],[Sector]])</f>
        <v>0</v>
      </c>
      <c r="I179" s="107">
        <f>SUMIFS(_TrackerTable35[Market Value
(in USD)],_TrackerTable35[Country],G$169,_TrackerTable35[Sector],_USDashboardTable243[[#This Row],[Sector]])</f>
        <v>0</v>
      </c>
      <c r="J179" s="50">
        <f>IF(_USDashboardTable243[[#Totals],[Market Value (in USD)]]&gt;0,_USDashboardTable243[[#This Row],[Market Value (in USD)]]/_USDashboardTable243[[#Totals],[Market Value (in USD)]],0)</f>
        <v>0</v>
      </c>
      <c r="K179" s="59"/>
      <c r="L179" s="64" t="s">
        <v>113</v>
      </c>
      <c r="M179" s="52">
        <f>COUNTIFS(_TrackerTable35[Country],L$169,_TrackerTable35[Sector],_USDashboardTable5254[[#This Row],[Sector]])</f>
        <v>0</v>
      </c>
      <c r="N179" s="51">
        <f>SUMIFS(_TrackerTable35[Market Value
(in USD)],_TrackerTable35[Country],L$169,_TrackerTable35[Sector],_USDashboardTable5254[[#This Row],[Sector]])</f>
        <v>0</v>
      </c>
      <c r="O179" s="50">
        <f>IF(_USDashboardTable5254[[#Totals],[Market Value (in USD)]]&gt;0,_USDashboardTable5254[[#This Row],[Market Value (in USD)]]/_USDashboardTable5254[[#Totals],[Market Value (in USD)]],0)</f>
        <v>0</v>
      </c>
      <c r="Q179" s="64" t="s">
        <v>113</v>
      </c>
      <c r="R179" s="52">
        <f>COUNTIFS(_TrackerTable35[Country],Q$169,_TrackerTable35[Sector],_USDashboardTable57276[[#This Row],[Sector]])</f>
        <v>0</v>
      </c>
      <c r="S179" s="51">
        <f>SUMIFS(_TrackerTable35[Market Value
(in USD)],_TrackerTable35[Country],Q$169,_TrackerTable35[Sector],_USDashboardTable57276[[#This Row],[Sector]])</f>
        <v>0</v>
      </c>
      <c r="T179" s="50">
        <f>IF(_USDashboardTable57276[[#Totals],[Market Value (in USD)]]&gt;0,_USDashboardTable57276[[#This Row],[Market Value (in USD)]]/_USDashboardTable57276[[#Totals],[Market Value (in USD)]],0)</f>
        <v>0</v>
      </c>
      <c r="V179" s="64" t="s">
        <v>113</v>
      </c>
      <c r="W179" s="52">
        <f>COUNTIFS(_TrackerTable35[Country],V$169,_TrackerTable35[Sector],_USDashboardTable5714337[[#This Row],[Sector]])</f>
        <v>0</v>
      </c>
      <c r="X179" s="51">
        <f>SUMIFS(_TrackerTable35[Market Value
(in USD)],_TrackerTable35[Country],V$169,_TrackerTable35[Sector],_USDashboardTable5714337[[#This Row],[Sector]])</f>
        <v>0</v>
      </c>
      <c r="Y179" s="50">
        <f>IF(_USDashboardTable5714337[[#Totals],[Market Value (in USD)]]&gt;0,_USDashboardTable5714337[[#This Row],[Market Value (in USD)]]/_USDashboardTable5714337[[#Totals],[Market Value (in USD)]],0)</f>
        <v>0</v>
      </c>
    </row>
    <row r="180" spans="2:25" ht="35.25" customHeight="1" outlineLevel="1" x14ac:dyDescent="0.2">
      <c r="B180" s="64" t="s">
        <v>75</v>
      </c>
      <c r="C180" s="52">
        <f>COUNTIFS(_TrackerTable35[Sector],_USDashboardTable56265[[#This Row],[Sector]])</f>
        <v>1</v>
      </c>
      <c r="D180" s="51">
        <f>SUMIFS(_TrackerTable35[Market Value
(in USD)],_TrackerTable35[Sector],_USDashboardTable56265[[#This Row],[Sector]])</f>
        <v>2948.1481481481478</v>
      </c>
      <c r="E180" s="50">
        <f>IF(_USDashboardTable56265[[#Totals],[Market Value (in USD)]]&gt;0,_USDashboardTable56265[[#This Row],[Market Value (in USD)]]/_USDashboardTable56265[[#Totals],[Market Value (in USD)]],0)</f>
        <v>5.5498547633025502E-2</v>
      </c>
      <c r="G180" s="64" t="s">
        <v>75</v>
      </c>
      <c r="H180" s="52">
        <f>COUNTIFS(_TrackerTable35[Country],G$169,_TrackerTable35[Sector],_USDashboardTable243[[#This Row],[Sector]])</f>
        <v>0</v>
      </c>
      <c r="I180" s="107">
        <f>SUMIFS(_TrackerTable35[Market Value
(in USD)],_TrackerTable35[Country],G$169,_TrackerTable35[Sector],_USDashboardTable243[[#This Row],[Sector]])</f>
        <v>0</v>
      </c>
      <c r="J180" s="50">
        <f>IF(_USDashboardTable243[[#Totals],[Market Value (in USD)]]&gt;0,_USDashboardTable243[[#This Row],[Market Value (in USD)]]/_USDashboardTable243[[#Totals],[Market Value (in USD)]],0)</f>
        <v>0</v>
      </c>
      <c r="K180" s="59"/>
      <c r="L180" s="64" t="s">
        <v>75</v>
      </c>
      <c r="M180" s="52">
        <f>COUNTIFS(_TrackerTable35[Country],L$169,_TrackerTable35[Sector],_USDashboardTable5254[[#This Row],[Sector]])</f>
        <v>0</v>
      </c>
      <c r="N180" s="51">
        <f>SUMIFS(_TrackerTable35[Market Value
(in USD)],_TrackerTable35[Country],L$169,_TrackerTable35[Sector],_USDashboardTable5254[[#This Row],[Sector]])</f>
        <v>0</v>
      </c>
      <c r="O180" s="50">
        <f>IF(_USDashboardTable5254[[#Totals],[Market Value (in USD)]]&gt;0,_USDashboardTable5254[[#This Row],[Market Value (in USD)]]/_USDashboardTable5254[[#Totals],[Market Value (in USD)]],0)</f>
        <v>0</v>
      </c>
      <c r="Q180" s="64" t="s">
        <v>75</v>
      </c>
      <c r="R180" s="52">
        <f>COUNTIFS(_TrackerTable35[Country],Q$169,_TrackerTable35[Sector],_USDashboardTable57276[[#This Row],[Sector]])</f>
        <v>1</v>
      </c>
      <c r="S180" s="51">
        <f>SUMIFS(_TrackerTable35[Market Value
(in USD)],_TrackerTable35[Country],Q$169,_TrackerTable35[Sector],_USDashboardTable57276[[#This Row],[Sector]])</f>
        <v>2948.1481481481478</v>
      </c>
      <c r="T180" s="50">
        <f>IF(_USDashboardTable57276[[#Totals],[Market Value (in USD)]]&gt;0,_USDashboardTable57276[[#This Row],[Market Value (in USD)]]/_USDashboardTable57276[[#Totals],[Market Value (in USD)]],0)</f>
        <v>1</v>
      </c>
      <c r="V180" s="64" t="s">
        <v>75</v>
      </c>
      <c r="W180" s="52">
        <f>COUNTIFS(_TrackerTable35[Country],V$169,_TrackerTable35[Sector],_USDashboardTable5714337[[#This Row],[Sector]])</f>
        <v>0</v>
      </c>
      <c r="X180" s="51">
        <f>SUMIFS(_TrackerTable35[Market Value
(in USD)],_TrackerTable35[Country],V$169,_TrackerTable35[Sector],_USDashboardTable5714337[[#This Row],[Sector]])</f>
        <v>0</v>
      </c>
      <c r="Y180" s="50">
        <f>IF(_USDashboardTable5714337[[#Totals],[Market Value (in USD)]]&gt;0,_USDashboardTable5714337[[#This Row],[Market Value (in USD)]]/_USDashboardTable5714337[[#Totals],[Market Value (in USD)]],0)</f>
        <v>0</v>
      </c>
    </row>
    <row r="181" spans="2:25" ht="35.25" customHeight="1" outlineLevel="1" x14ac:dyDescent="0.2">
      <c r="B181" s="64" t="s">
        <v>51</v>
      </c>
      <c r="C181" s="52">
        <f>COUNTIFS(_TrackerTable35[Sector],_USDashboardTable56265[[#This Row],[Sector]])</f>
        <v>1</v>
      </c>
      <c r="D181" s="51">
        <f>SUMIFS(_TrackerTable35[Market Value
(in USD)],_TrackerTable35[Sector],_USDashboardTable56265[[#This Row],[Sector]])</f>
        <v>3194.2200000000003</v>
      </c>
      <c r="E181" s="50">
        <f>IF(_USDashboardTable56265[[#Totals],[Market Value (in USD)]]&gt;0,_USDashboardTable56265[[#This Row],[Market Value (in USD)]]/_USDashboardTable56265[[#Totals],[Market Value (in USD)]],0)</f>
        <v>6.0130821760675808E-2</v>
      </c>
      <c r="G181" s="64" t="s">
        <v>51</v>
      </c>
      <c r="H181" s="52">
        <f>COUNTIFS(_TrackerTable35[Country],G$169,_TrackerTable35[Sector],_USDashboardTable243[[#This Row],[Sector]])</f>
        <v>1</v>
      </c>
      <c r="I181" s="107">
        <f>SUMIFS(_TrackerTable35[Market Value
(in USD)],_TrackerTable35[Country],G$169,_TrackerTable35[Sector],_USDashboardTable243[[#This Row],[Sector]])</f>
        <v>3194.2200000000003</v>
      </c>
      <c r="J181" s="50">
        <f>IF(_USDashboardTable243[[#Totals],[Market Value (in USD)]]&gt;0,_USDashboardTable243[[#This Row],[Market Value (in USD)]]/_USDashboardTable243[[#Totals],[Market Value (in USD)]],0)</f>
        <v>9.3753301978721754E-2</v>
      </c>
      <c r="L181" s="64" t="s">
        <v>51</v>
      </c>
      <c r="M181" s="52">
        <f>COUNTIFS(_TrackerTable35[Country],L$169,_TrackerTable35[Sector],_USDashboardTable5254[[#This Row],[Sector]])</f>
        <v>0</v>
      </c>
      <c r="N181" s="51">
        <f>SUMIFS(_TrackerTable35[Market Value
(in USD)],_TrackerTable35[Country],L$169,_TrackerTable35[Sector],_USDashboardTable5254[[#This Row],[Sector]])</f>
        <v>0</v>
      </c>
      <c r="O181" s="50">
        <f>IF(_USDashboardTable5254[[#Totals],[Market Value (in USD)]]&gt;0,_USDashboardTable5254[[#This Row],[Market Value (in USD)]]/_USDashboardTable5254[[#Totals],[Market Value (in USD)]],0)</f>
        <v>0</v>
      </c>
      <c r="Q181" s="64" t="s">
        <v>51</v>
      </c>
      <c r="R181" s="52">
        <f>COUNTIFS(_TrackerTable35[Country],Q$169,_TrackerTable35[Sector],_USDashboardTable57276[[#This Row],[Sector]])</f>
        <v>0</v>
      </c>
      <c r="S181" s="51">
        <f>SUMIFS(_TrackerTable35[Market Value
(in USD)],_TrackerTable35[Country],Q$169,_TrackerTable35[Sector],_USDashboardTable57276[[#This Row],[Sector]])</f>
        <v>0</v>
      </c>
      <c r="T181" s="50">
        <f>IF(_USDashboardTable57276[[#Totals],[Market Value (in USD)]]&gt;0,_USDashboardTable57276[[#This Row],[Market Value (in USD)]]/_USDashboardTable57276[[#Totals],[Market Value (in USD)]],0)</f>
        <v>0</v>
      </c>
      <c r="V181" s="64" t="s">
        <v>51</v>
      </c>
      <c r="W181" s="52">
        <f>COUNTIFS(_TrackerTable35[Country],V$169,_TrackerTable35[Sector],_USDashboardTable5714337[[#This Row],[Sector]])</f>
        <v>0</v>
      </c>
      <c r="X181" s="51">
        <f>SUMIFS(_TrackerTable35[Market Value
(in USD)],_TrackerTable35[Country],V$169,_TrackerTable35[Sector],_USDashboardTable5714337[[#This Row],[Sector]])</f>
        <v>0</v>
      </c>
      <c r="Y181" s="50">
        <f>IF(_USDashboardTable5714337[[#Totals],[Market Value (in USD)]]&gt;0,_USDashboardTable5714337[[#This Row],[Market Value (in USD)]]/_USDashboardTable5714337[[#Totals],[Market Value (in USD)]],0)</f>
        <v>0</v>
      </c>
    </row>
    <row r="182" spans="2:25" ht="35.25" customHeight="1" outlineLevel="1" x14ac:dyDescent="0.2">
      <c r="B182" s="64" t="s">
        <v>112</v>
      </c>
      <c r="C182" s="52">
        <f>COUNTIFS(_TrackerTable35[Sector],_USDashboardTable56265[[#This Row],[Sector]])</f>
        <v>0</v>
      </c>
      <c r="D182" s="51">
        <f>SUMIFS(_TrackerTable35[Market Value
(in USD)],_TrackerTable35[Sector],_USDashboardTable56265[[#This Row],[Sector]])</f>
        <v>0</v>
      </c>
      <c r="E182" s="50">
        <f>IF(_USDashboardTable56265[[#Totals],[Market Value (in USD)]]&gt;0,_USDashboardTable56265[[#This Row],[Market Value (in USD)]]/_USDashboardTable56265[[#Totals],[Market Value (in USD)]],0)</f>
        <v>0</v>
      </c>
      <c r="G182" s="64" t="s">
        <v>112</v>
      </c>
      <c r="H182" s="52">
        <f>COUNTIFS(_TrackerTable35[Country],G$169,_TrackerTable35[Sector],_USDashboardTable243[[#This Row],[Sector]])</f>
        <v>0</v>
      </c>
      <c r="I182" s="107">
        <f>SUMIFS(_TrackerTable35[Market Value
(in USD)],_TrackerTable35[Country],G$169,_TrackerTable35[Sector],_USDashboardTable243[[#This Row],[Sector]])</f>
        <v>0</v>
      </c>
      <c r="J182" s="50">
        <f>IF(_USDashboardTable243[[#Totals],[Market Value (in USD)]]&gt;0,_USDashboardTable243[[#This Row],[Market Value (in USD)]]/_USDashboardTable243[[#Totals],[Market Value (in USD)]],0)</f>
        <v>0</v>
      </c>
      <c r="L182" s="64" t="s">
        <v>112</v>
      </c>
      <c r="M182" s="52">
        <f>COUNTIFS(_TrackerTable35[Country],L$169,_TrackerTable35[Sector],_USDashboardTable5254[[#This Row],[Sector]])</f>
        <v>0</v>
      </c>
      <c r="N182" s="51">
        <f>SUMIFS(_TrackerTable35[Market Value
(in USD)],_TrackerTable35[Country],L$169,_TrackerTable35[Sector],_USDashboardTable5254[[#This Row],[Sector]])</f>
        <v>0</v>
      </c>
      <c r="O182" s="50">
        <f>IF(_USDashboardTable5254[[#Totals],[Market Value (in USD)]]&gt;0,_USDashboardTable5254[[#This Row],[Market Value (in USD)]]/_USDashboardTable5254[[#Totals],[Market Value (in USD)]],0)</f>
        <v>0</v>
      </c>
      <c r="Q182" s="64" t="s">
        <v>112</v>
      </c>
      <c r="R182" s="52">
        <f>COUNTIFS(_TrackerTable35[Country],Q$169,_TrackerTable35[Sector],_USDashboardTable57276[[#This Row],[Sector]])</f>
        <v>0</v>
      </c>
      <c r="S182" s="51">
        <f>SUMIFS(_TrackerTable35[Market Value
(in USD)],_TrackerTable35[Country],Q$169,_TrackerTable35[Sector],_USDashboardTable57276[[#This Row],[Sector]])</f>
        <v>0</v>
      </c>
      <c r="T182" s="50">
        <f>IF(_USDashboardTable57276[[#Totals],[Market Value (in USD)]]&gt;0,_USDashboardTable57276[[#This Row],[Market Value (in USD)]]/_USDashboardTable57276[[#Totals],[Market Value (in USD)]],0)</f>
        <v>0</v>
      </c>
      <c r="V182" s="64" t="s">
        <v>112</v>
      </c>
      <c r="W182" s="52">
        <f>COUNTIFS(_TrackerTable35[Country],V$169,_TrackerTable35[Sector],_USDashboardTable5714337[[#This Row],[Sector]])</f>
        <v>0</v>
      </c>
      <c r="X182" s="51">
        <f>SUMIFS(_TrackerTable35[Market Value
(in USD)],_TrackerTable35[Country],V$169,_TrackerTable35[Sector],_USDashboardTable5714337[[#This Row],[Sector]])</f>
        <v>0</v>
      </c>
      <c r="Y182" s="50">
        <f>IF(_USDashboardTable5714337[[#Totals],[Market Value (in USD)]]&gt;0,_USDashboardTable5714337[[#This Row],[Market Value (in USD)]]/_USDashboardTable5714337[[#Totals],[Market Value (in USD)]],0)</f>
        <v>0</v>
      </c>
    </row>
    <row r="183" spans="2:25" ht="35.25" customHeight="1" outlineLevel="1" x14ac:dyDescent="0.2">
      <c r="B183" s="108" t="s">
        <v>53</v>
      </c>
      <c r="C183" s="108">
        <f>SUBTOTAL(109,_USDashboardTable56265[Count])</f>
        <v>9</v>
      </c>
      <c r="D183" s="109">
        <f>SUBTOTAL(109,_USDashboardTable56265[Market Value (in USD)])</f>
        <v>53121.176569200783</v>
      </c>
      <c r="E183" s="110">
        <f>SUBTOTAL(109,_USDashboardTable56265[Percentage by Market Value])</f>
        <v>1</v>
      </c>
      <c r="G183" s="111" t="s">
        <v>53</v>
      </c>
      <c r="H183" s="108">
        <f>SUBTOTAL(109,_USDashboardTable243[Count])</f>
        <v>5</v>
      </c>
      <c r="I183" s="109">
        <f>SUBTOTAL(109,_USDashboardTable243[Market Value (in USD)])</f>
        <v>34070.480000000003</v>
      </c>
      <c r="J183" s="110">
        <f>SUBTOTAL(109,_USDashboardTable243[Percentage by Market Value])</f>
        <v>0.99999999999999989</v>
      </c>
      <c r="L183" s="111" t="s">
        <v>53</v>
      </c>
      <c r="M183" s="108">
        <f>SUBTOTAL(109,_USDashboardTable5254[Count])</f>
        <v>3</v>
      </c>
      <c r="N183" s="109">
        <f>SUBTOTAL(109,_USDashboardTable5254[Market Value (in USD)])</f>
        <v>16102.54842105263</v>
      </c>
      <c r="O183" s="110">
        <f>SUBTOTAL(109,_USDashboardTable5254[Percentage by Market Value])</f>
        <v>1</v>
      </c>
      <c r="Q183" s="108" t="s">
        <v>53</v>
      </c>
      <c r="R183" s="108">
        <f>SUBTOTAL(109,_USDashboardTable57276[Count])</f>
        <v>1</v>
      </c>
      <c r="S183" s="109">
        <f>SUBTOTAL(109,_USDashboardTable57276[Market Value (in USD)])</f>
        <v>2948.1481481481478</v>
      </c>
      <c r="T183" s="110">
        <f>SUBTOTAL(109,_USDashboardTable57276[Percentage by Market Value])</f>
        <v>1</v>
      </c>
      <c r="V183" s="108" t="s">
        <v>53</v>
      </c>
      <c r="W183" s="108">
        <f>SUBTOTAL(109,_USDashboardTable5714337[Count])</f>
        <v>0</v>
      </c>
      <c r="X183" s="109">
        <f>SUBTOTAL(109,_USDashboardTable5714337[Market Value (in USD)])</f>
        <v>0</v>
      </c>
      <c r="Y183" s="110">
        <f>SUBTOTAL(109,_USDashboardTable5714337[Percentage by Market Value])</f>
        <v>0</v>
      </c>
    </row>
    <row r="184" spans="2:25" outlineLevel="1" x14ac:dyDescent="0.2">
      <c r="B184" s="55"/>
      <c r="C184" s="55"/>
      <c r="D184" s="75"/>
      <c r="I184" s="58"/>
      <c r="J184" s="58"/>
      <c r="L184" s="58"/>
      <c r="M184" s="57"/>
      <c r="N184" s="56"/>
      <c r="Q184" s="58"/>
      <c r="R184" s="57"/>
      <c r="S184" s="56"/>
      <c r="V184" s="58"/>
      <c r="W184" s="57"/>
      <c r="X184" s="56"/>
    </row>
    <row r="185" spans="2:25" outlineLevel="1" x14ac:dyDescent="0.2">
      <c r="B185" s="55"/>
      <c r="C185" s="55"/>
      <c r="I185" s="58"/>
      <c r="J185" s="58"/>
      <c r="L185" s="58"/>
      <c r="M185" s="57"/>
      <c r="N185" s="56"/>
      <c r="Q185" s="58"/>
      <c r="R185" s="57"/>
      <c r="S185" s="56"/>
      <c r="V185" s="58"/>
      <c r="W185" s="57"/>
      <c r="X185" s="56"/>
    </row>
    <row r="186" spans="2:25" outlineLevel="1" x14ac:dyDescent="0.2">
      <c r="B186" s="55"/>
      <c r="C186" s="55"/>
      <c r="D186" s="75"/>
      <c r="I186" s="58"/>
      <c r="J186" s="58"/>
      <c r="L186" s="58"/>
      <c r="M186" s="57"/>
      <c r="N186" s="56"/>
      <c r="Q186" s="58"/>
      <c r="R186" s="57"/>
      <c r="S186" s="56"/>
      <c r="V186" s="58"/>
      <c r="W186" s="57"/>
      <c r="X186" s="56"/>
    </row>
    <row r="187" spans="2:25" outlineLevel="1" x14ac:dyDescent="0.2"/>
    <row r="188" spans="2:25" outlineLevel="1" x14ac:dyDescent="0.2">
      <c r="B188" s="55"/>
      <c r="C188" s="55"/>
      <c r="D188" s="75"/>
    </row>
    <row r="189" spans="2:25" outlineLevel="1" x14ac:dyDescent="0.2"/>
    <row r="190" spans="2:25" outlineLevel="1" x14ac:dyDescent="0.2">
      <c r="B190" s="55"/>
      <c r="C190" s="55"/>
      <c r="D190" s="75"/>
    </row>
    <row r="191" spans="2:25" outlineLevel="1" x14ac:dyDescent="0.2"/>
    <row r="192" spans="2:25" outlineLevel="1" x14ac:dyDescent="0.2"/>
    <row r="193" outlineLevel="1" x14ac:dyDescent="0.2"/>
    <row r="194" outlineLevel="1" x14ac:dyDescent="0.2"/>
    <row r="195" outlineLevel="1" x14ac:dyDescent="0.2"/>
    <row r="196" outlineLevel="1" x14ac:dyDescent="0.2"/>
    <row r="197" outlineLevel="1" x14ac:dyDescent="0.2"/>
    <row r="198" outlineLevel="1" x14ac:dyDescent="0.2"/>
    <row r="199" outlineLevel="1" x14ac:dyDescent="0.2"/>
    <row r="200" outlineLevel="1" x14ac:dyDescent="0.2"/>
    <row r="201" outlineLevel="1" x14ac:dyDescent="0.2"/>
    <row r="202" outlineLevel="1" x14ac:dyDescent="0.2"/>
    <row r="203" outlineLevel="1" x14ac:dyDescent="0.2"/>
    <row r="204" outlineLevel="1" x14ac:dyDescent="0.2"/>
    <row r="205" outlineLevel="1" x14ac:dyDescent="0.2"/>
    <row r="206" outlineLevel="1" x14ac:dyDescent="0.2"/>
    <row r="207" outlineLevel="1" x14ac:dyDescent="0.2"/>
    <row r="208" outlineLevel="1" x14ac:dyDescent="0.2"/>
    <row r="209" outlineLevel="1" x14ac:dyDescent="0.2"/>
    <row r="210" outlineLevel="1" x14ac:dyDescent="0.2"/>
    <row r="211" outlineLevel="1" x14ac:dyDescent="0.2"/>
    <row r="212" outlineLevel="1" x14ac:dyDescent="0.2"/>
    <row r="213" outlineLevel="1" x14ac:dyDescent="0.2"/>
    <row r="214" outlineLevel="1" x14ac:dyDescent="0.2"/>
    <row r="215" outlineLevel="1" x14ac:dyDescent="0.2"/>
    <row r="216" outlineLevel="1" x14ac:dyDescent="0.2"/>
    <row r="217" outlineLevel="1" x14ac:dyDescent="0.2"/>
    <row r="218" outlineLevel="1" x14ac:dyDescent="0.2"/>
    <row r="219" outlineLevel="1" x14ac:dyDescent="0.2"/>
    <row r="220" outlineLevel="1" x14ac:dyDescent="0.2"/>
    <row r="221" outlineLevel="1" x14ac:dyDescent="0.2"/>
    <row r="222" outlineLevel="1" x14ac:dyDescent="0.2"/>
    <row r="223" outlineLevel="1" x14ac:dyDescent="0.2"/>
    <row r="224" outlineLevel="1" x14ac:dyDescent="0.2"/>
    <row r="225" spans="2:5" outlineLevel="1" x14ac:dyDescent="0.2"/>
    <row r="226" spans="2:5" outlineLevel="1" x14ac:dyDescent="0.2"/>
    <row r="227" spans="2:5" outlineLevel="1" x14ac:dyDescent="0.2"/>
    <row r="228" spans="2:5" outlineLevel="1" x14ac:dyDescent="0.2"/>
    <row r="229" spans="2:5" ht="39" customHeight="1" outlineLevel="1" x14ac:dyDescent="0.2"/>
    <row r="230" spans="2:5" ht="35.25" customHeight="1" outlineLevel="1" x14ac:dyDescent="0.2"/>
    <row r="231" spans="2:5" outlineLevel="1" x14ac:dyDescent="0.2"/>
    <row r="232" spans="2:5" outlineLevel="1" x14ac:dyDescent="0.2"/>
    <row r="235" spans="2:5" ht="26" customHeight="1" outlineLevel="1" x14ac:dyDescent="0.2">
      <c r="B235" s="74" t="s">
        <v>62</v>
      </c>
    </row>
    <row r="236" spans="2:5" ht="35.25" customHeight="1" outlineLevel="1" x14ac:dyDescent="0.2">
      <c r="B236" s="73" t="s">
        <v>61</v>
      </c>
      <c r="C236" s="73" t="s">
        <v>60</v>
      </c>
      <c r="D236" s="73" t="s">
        <v>59</v>
      </c>
      <c r="E236" s="72" t="s">
        <v>58</v>
      </c>
    </row>
    <row r="237" spans="2:5" ht="35.25" customHeight="1" outlineLevel="1" x14ac:dyDescent="0.2">
      <c r="B237" s="53" t="s">
        <v>57</v>
      </c>
      <c r="C237" s="52">
        <f>COUNTIFS(_TrackerTable35[Country],_USDashboardTable56828[[#This Row],[Country]])</f>
        <v>5</v>
      </c>
      <c r="D237" s="51">
        <f>SUMIFS(_TrackerTable35[Market Value
(in USD)],_TrackerTable35[Country],_USDashboardTable56828[[#This Row],[Country]])</f>
        <v>34070.480000000003</v>
      </c>
      <c r="E237" s="50">
        <f>IF(_USDashboardTable56828[[#Totals],[Market Value (in USD)]]&gt;0,_USDashboardTable56828[[#This Row],[Market Value (in USD)]]/_USDashboardTable56828[[#Totals],[Market Value (in USD)]],0)</f>
        <v>0.64137284225277846</v>
      </c>
    </row>
    <row r="238" spans="2:5" ht="35.25" customHeight="1" outlineLevel="1" x14ac:dyDescent="0.2">
      <c r="B238" s="53" t="s">
        <v>191</v>
      </c>
      <c r="C238" s="52">
        <f>COUNTIFS(_TrackerTable35[Country],_USDashboardTable56828[[#This Row],[Country]])</f>
        <v>3</v>
      </c>
      <c r="D238" s="51">
        <f>SUMIFS(_TrackerTable35[Market Value
(in USD)],_TrackerTable35[Country],_USDashboardTable56828[[#This Row],[Country]])</f>
        <v>16102.54842105263</v>
      </c>
      <c r="E238" s="50">
        <f>IF(_USDashboardTable56828[[#Totals],[Market Value (in USD)]]&gt;0,_USDashboardTable56828[[#This Row],[Market Value (in USD)]]/_USDashboardTable56828[[#Totals],[Market Value (in USD)]],0)</f>
        <v>0.30312861011419606</v>
      </c>
    </row>
    <row r="239" spans="2:5" ht="35.25" customHeight="1" outlineLevel="1" x14ac:dyDescent="0.2">
      <c r="B239" s="53" t="s">
        <v>56</v>
      </c>
      <c r="C239" s="52">
        <f>COUNTIFS(_TrackerTable35[Country],_USDashboardTable56828[[#This Row],[Country]])</f>
        <v>1</v>
      </c>
      <c r="D239" s="51">
        <f>SUMIFS(_TrackerTable35[Market Value
(in USD)],_TrackerTable35[Country],_USDashboardTable56828[[#This Row],[Country]])</f>
        <v>2948.1481481481478</v>
      </c>
      <c r="E239" s="50">
        <f>IF(_USDashboardTable56828[[#Totals],[Market Value (in USD)]]&gt;0,_USDashboardTable56828[[#This Row],[Market Value (in USD)]]/_USDashboardTable56828[[#Totals],[Market Value (in USD)]],0)</f>
        <v>5.5498547633025509E-2</v>
      </c>
    </row>
    <row r="240" spans="2:5" ht="35.25" customHeight="1" outlineLevel="1" x14ac:dyDescent="0.2">
      <c r="B240" s="53" t="s">
        <v>192</v>
      </c>
      <c r="C240" s="52">
        <f>COUNTIFS(_TrackerTable35[Country],_USDashboardTable56828[[#This Row],[Country]])</f>
        <v>0</v>
      </c>
      <c r="D240" s="51">
        <f>SUMIFS(_TrackerTable35[Market Value
(in USD)],_TrackerTable35[Country],_USDashboardTable56828[[#This Row],[Country]])</f>
        <v>0</v>
      </c>
      <c r="E240" s="50">
        <f>IF(_USDashboardTable56828[[#Totals],[Market Value (in USD)]]&gt;0,_USDashboardTable56828[[#This Row],[Market Value (in USD)]]/_USDashboardTable56828[[#Totals],[Market Value (in USD)]],0)</f>
        <v>0</v>
      </c>
    </row>
    <row r="241" spans="2:5" ht="35.25" customHeight="1" outlineLevel="1" x14ac:dyDescent="0.2">
      <c r="B241" s="53" t="s">
        <v>185</v>
      </c>
      <c r="C241" s="52">
        <f>COUNTIFS(_TrackerTable35[Country],_USDashboardTable56828[[#This Row],[Country]])</f>
        <v>0</v>
      </c>
      <c r="D241" s="51">
        <f>SUMIFS(_TrackerTable35[Market Value
(in USD)],_TrackerTable35[Country],_USDashboardTable56828[[#This Row],[Country]])</f>
        <v>0</v>
      </c>
      <c r="E241" s="50">
        <f>IF(_USDashboardTable56828[[#Totals],[Market Value (in USD)]]&gt;0,_USDashboardTable56828[[#This Row],[Market Value (in USD)]]/_USDashboardTable56828[[#Totals],[Market Value (in USD)]],0)</f>
        <v>0</v>
      </c>
    </row>
    <row r="242" spans="2:5" ht="35.25" customHeight="1" outlineLevel="1" x14ac:dyDescent="0.2">
      <c r="B242" s="53" t="s">
        <v>186</v>
      </c>
      <c r="C242" s="52">
        <f>COUNTIFS(_TrackerTable35[Country],_USDashboardTable56828[[#This Row],[Country]])</f>
        <v>0</v>
      </c>
      <c r="D242" s="51">
        <f>SUMIFS(_TrackerTable35[Market Value
(in USD)],_TrackerTable35[Country],_USDashboardTable56828[[#This Row],[Country]])</f>
        <v>0</v>
      </c>
      <c r="E242" s="50">
        <f>IF(_USDashboardTable56828[[#Totals],[Market Value (in USD)]]&gt;0,_USDashboardTable56828[[#This Row],[Market Value (in USD)]]/_USDashboardTable56828[[#Totals],[Market Value (in USD)]],0)</f>
        <v>0</v>
      </c>
    </row>
    <row r="243" spans="2:5" ht="35.25" customHeight="1" outlineLevel="1" x14ac:dyDescent="0.2">
      <c r="B243" s="49" t="s">
        <v>53</v>
      </c>
      <c r="C243" s="49">
        <f>SUBTOTAL(109,_USDashboardTable56828[Count])</f>
        <v>9</v>
      </c>
      <c r="D243" s="71">
        <f>SUBTOTAL(109,_USDashboardTable56828[Market Value (in USD)])</f>
        <v>53121.176569200776</v>
      </c>
      <c r="E243" s="70">
        <f>SUBTOTAL(109,_USDashboardTable56828[Percentage by Market Value])</f>
        <v>1</v>
      </c>
    </row>
    <row r="244" spans="2:5" outlineLevel="1" x14ac:dyDescent="0.2"/>
    <row r="245" spans="2:5" outlineLevel="1" x14ac:dyDescent="0.2"/>
    <row r="246" spans="2:5" outlineLevel="1" x14ac:dyDescent="0.2"/>
    <row r="247" spans="2:5" outlineLevel="1" x14ac:dyDescent="0.2"/>
    <row r="248" spans="2:5" outlineLevel="1" x14ac:dyDescent="0.2"/>
    <row r="249" spans="2:5" outlineLevel="1" x14ac:dyDescent="0.2"/>
    <row r="250" spans="2:5" outlineLevel="1" x14ac:dyDescent="0.2"/>
    <row r="251" spans="2:5" outlineLevel="1" x14ac:dyDescent="0.2"/>
    <row r="252" spans="2:5" outlineLevel="1" x14ac:dyDescent="0.2"/>
    <row r="253" spans="2:5" outlineLevel="1" x14ac:dyDescent="0.2"/>
    <row r="254" spans="2:5" outlineLevel="1" x14ac:dyDescent="0.2"/>
    <row r="255" spans="2:5" outlineLevel="1" x14ac:dyDescent="0.2"/>
    <row r="256" spans="2:5" outlineLevel="1" x14ac:dyDescent="0.2"/>
    <row r="257" outlineLevel="1" x14ac:dyDescent="0.2"/>
    <row r="258" outlineLevel="1" x14ac:dyDescent="0.2"/>
    <row r="259" outlineLevel="1" x14ac:dyDescent="0.2"/>
    <row r="260" outlineLevel="1" x14ac:dyDescent="0.2"/>
    <row r="261" outlineLevel="1" x14ac:dyDescent="0.2"/>
    <row r="262" outlineLevel="1" x14ac:dyDescent="0.2"/>
    <row r="263" outlineLevel="1" x14ac:dyDescent="0.2"/>
    <row r="264" outlineLevel="1" x14ac:dyDescent="0.2"/>
    <row r="265" outlineLevel="1" x14ac:dyDescent="0.2"/>
    <row r="266" outlineLevel="1" x14ac:dyDescent="0.2"/>
    <row r="267" outlineLevel="1" x14ac:dyDescent="0.2"/>
    <row r="268" outlineLevel="1" x14ac:dyDescent="0.2"/>
    <row r="269" outlineLevel="1" x14ac:dyDescent="0.2"/>
    <row r="270" outlineLevel="1" x14ac:dyDescent="0.2"/>
    <row r="271" outlineLevel="1" x14ac:dyDescent="0.2"/>
    <row r="272" outlineLevel="1" x14ac:dyDescent="0.2"/>
    <row r="273" outlineLevel="1" x14ac:dyDescent="0.2"/>
    <row r="274" outlineLevel="1" x14ac:dyDescent="0.2"/>
    <row r="275" outlineLevel="1" x14ac:dyDescent="0.2"/>
    <row r="276" outlineLevel="1" x14ac:dyDescent="0.2"/>
    <row r="277" outlineLevel="1" x14ac:dyDescent="0.2"/>
    <row r="278" outlineLevel="1" x14ac:dyDescent="0.2"/>
    <row r="279" outlineLevel="1" x14ac:dyDescent="0.2"/>
    <row r="280" outlineLevel="1" x14ac:dyDescent="0.2"/>
    <row r="281" outlineLevel="1" x14ac:dyDescent="0.2"/>
    <row r="282" outlineLevel="1" x14ac:dyDescent="0.2"/>
    <row r="283" outlineLevel="1" x14ac:dyDescent="0.2"/>
    <row r="284" outlineLevel="1" x14ac:dyDescent="0.2"/>
    <row r="285" outlineLevel="1" x14ac:dyDescent="0.2"/>
    <row r="286" outlineLevel="1" x14ac:dyDescent="0.2"/>
    <row r="287" outlineLevel="1" x14ac:dyDescent="0.2"/>
    <row r="288" outlineLevel="1" x14ac:dyDescent="0.2"/>
    <row r="289" spans="2:25" outlineLevel="1" x14ac:dyDescent="0.2"/>
    <row r="290" spans="2:25" outlineLevel="1" x14ac:dyDescent="0.2">
      <c r="E290" s="66"/>
    </row>
    <row r="291" spans="2:25" outlineLevel="1" x14ac:dyDescent="0.2">
      <c r="E291" s="66"/>
    </row>
    <row r="292" spans="2:25" x14ac:dyDescent="0.2">
      <c r="E292" s="66"/>
    </row>
    <row r="293" spans="2:25" x14ac:dyDescent="0.2">
      <c r="E293" s="66"/>
    </row>
    <row r="294" spans="2:25" x14ac:dyDescent="0.2">
      <c r="E294" s="66"/>
    </row>
    <row r="295" spans="2:25" x14ac:dyDescent="0.2"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</row>
    <row r="296" spans="2:25" x14ac:dyDescent="0.2"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</row>
    <row r="297" spans="2:25" x14ac:dyDescent="0.2"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</row>
    <row r="298" spans="2:25" x14ac:dyDescent="0.2"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</row>
    <row r="299" spans="2:25" x14ac:dyDescent="0.2"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</row>
    <row r="300" spans="2:25" x14ac:dyDescent="0.2"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</row>
    <row r="301" spans="2:25" x14ac:dyDescent="0.2">
      <c r="B301" s="103" t="str">
        <f ca="1">"© "&amp;YEAR(TODAY())&amp;" Piranha Ltd. All rights reserved."</f>
        <v>© 2026 Piranha Ltd. All rights reserved.</v>
      </c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</row>
    <row r="302" spans="2:25" x14ac:dyDescent="0.2"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</row>
    <row r="303" spans="2:25" x14ac:dyDescent="0.2"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</row>
  </sheetData>
  <mergeCells count="1">
    <mergeCell ref="B3:E3"/>
  </mergeCells>
  <pageMargins left="0.7" right="0.7" top="0.75" bottom="0.75" header="0.3" footer="0.3"/>
  <drawing r:id="rId1"/>
  <legacyDrawing r:id="rId2"/>
  <tableParts count="1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4BD34-0E8D-4671-AE5C-01185D51CBBA}">
          <x14:formula1>
            <xm:f>'VMI Portfolio Parameter'!$B$20:$B$31</xm:f>
          </x14:formula1>
          <xm:sqref>G46 V46 L46 Q46 G105 V105 L105 Q105 G169 V169 L169 Q169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B8E1-BDAD-4372-A8FC-B3A6DCC226A6}">
  <sheetPr>
    <tabColor rgb="FF485D73"/>
  </sheetPr>
  <dimension ref="A1:AJ45"/>
  <sheetViews>
    <sheetView showGridLines="0" zoomScaleNormal="100" workbookViewId="0">
      <pane ySplit="9" topLeftCell="A10" activePane="bottomLeft" state="frozen"/>
      <selection activeCell="F22" sqref="F22:H22"/>
      <selection pane="bottomLeft" activeCell="E9" sqref="E9"/>
    </sheetView>
  </sheetViews>
  <sheetFormatPr baseColWidth="10" defaultColWidth="9.1640625" defaultRowHeight="16" outlineLevelCol="1" x14ac:dyDescent="0.2"/>
  <cols>
    <col min="1" max="1" width="3.1640625" style="318" customWidth="1"/>
    <col min="2" max="2" width="3.83203125" style="318" customWidth="1"/>
    <col min="3" max="3" width="15.1640625" style="318" customWidth="1"/>
    <col min="4" max="4" width="22.6640625" style="324" customWidth="1"/>
    <col min="5" max="7" width="14.6640625" style="318" customWidth="1" outlineLevel="1"/>
    <col min="8" max="8" width="10" style="318" customWidth="1" outlineLevel="1"/>
    <col min="9" max="9" width="8" style="318" customWidth="1" outlineLevel="1"/>
    <col min="10" max="10" width="10.6640625" style="325" customWidth="1" outlineLevel="1"/>
    <col min="11" max="11" width="17.33203125" style="326" customWidth="1" outlineLevel="1"/>
    <col min="12" max="12" width="10.6640625" style="327" customWidth="1" outlineLevel="1"/>
    <col min="13" max="13" width="12" style="326" customWidth="1" outlineLevel="1"/>
    <col min="14" max="14" width="10.6640625" style="318" customWidth="1" outlineLevel="1"/>
    <col min="15" max="15" width="10.6640625" style="326" customWidth="1" outlineLevel="1"/>
    <col min="16" max="16" width="12" style="318" customWidth="1" outlineLevel="1"/>
    <col min="17" max="17" width="12" style="326" bestFit="1" customWidth="1"/>
    <col min="18" max="18" width="12.5" style="326" customWidth="1"/>
    <col min="19" max="20" width="16.83203125" style="326" bestFit="1" customWidth="1"/>
    <col min="21" max="21" width="10" style="326" customWidth="1"/>
    <col min="22" max="22" width="11.6640625" style="317" bestFit="1" customWidth="1"/>
    <col min="23" max="23" width="12.5" style="318" customWidth="1"/>
    <col min="24" max="24" width="10.6640625" style="326" bestFit="1" customWidth="1"/>
    <col min="25" max="25" width="11" style="328" bestFit="1" customWidth="1"/>
    <col min="26" max="26" width="16.83203125" style="326" bestFit="1" customWidth="1"/>
    <col min="27" max="27" width="12" style="318" bestFit="1" customWidth="1"/>
    <col min="28" max="28" width="12" style="318" customWidth="1"/>
    <col min="29" max="29" width="14.1640625" style="317" bestFit="1" customWidth="1"/>
    <col min="30" max="30" width="9.83203125" style="326" customWidth="1"/>
    <col min="31" max="31" width="13.1640625" style="317" bestFit="1" customWidth="1"/>
    <col min="32" max="32" width="15.5" style="317" bestFit="1" customWidth="1"/>
    <col min="33" max="33" width="12" style="317" customWidth="1"/>
    <col min="34" max="35" width="9.83203125" style="318" customWidth="1"/>
    <col min="36" max="36" width="2.33203125" style="318" customWidth="1"/>
    <col min="37" max="16384" width="9.1640625" style="318"/>
  </cols>
  <sheetData>
    <row r="1" spans="1:32" ht="7.5" customHeight="1" x14ac:dyDescent="0.2"/>
    <row r="2" spans="1:32" s="242" customFormat="1" ht="25" x14ac:dyDescent="0.25">
      <c r="A2" s="236"/>
      <c r="B2" s="236"/>
      <c r="C2" s="360" t="s">
        <v>195</v>
      </c>
      <c r="D2" s="237"/>
      <c r="E2" s="236"/>
      <c r="F2" s="236"/>
      <c r="G2" s="236"/>
      <c r="H2" s="236"/>
      <c r="I2" s="236"/>
      <c r="J2" s="238"/>
      <c r="K2" s="239"/>
      <c r="L2" s="240"/>
      <c r="M2" s="239"/>
      <c r="N2" s="236"/>
      <c r="O2" s="239"/>
      <c r="P2" s="236"/>
      <c r="Q2" s="239"/>
      <c r="R2" s="239"/>
      <c r="S2" s="239"/>
      <c r="T2" s="239"/>
      <c r="U2" s="239"/>
      <c r="V2" s="241"/>
      <c r="W2" s="239"/>
      <c r="X2" s="241"/>
      <c r="Y2" s="239"/>
      <c r="Z2" s="236"/>
      <c r="AA2" s="241"/>
      <c r="AB2" s="241"/>
      <c r="AC2" s="239"/>
      <c r="AD2" s="241"/>
      <c r="AE2" s="241"/>
      <c r="AF2" s="236"/>
    </row>
    <row r="3" spans="1:32" s="242" customFormat="1" ht="4" customHeight="1" x14ac:dyDescent="0.2">
      <c r="A3" s="236"/>
      <c r="B3" s="236"/>
      <c r="C3" s="236"/>
      <c r="D3" s="243"/>
      <c r="E3" s="236"/>
      <c r="F3" s="236"/>
      <c r="G3" s="236"/>
      <c r="H3" s="236"/>
      <c r="I3" s="236"/>
      <c r="J3" s="238"/>
      <c r="K3" s="244"/>
      <c r="L3" s="240"/>
      <c r="M3" s="239"/>
      <c r="N3" s="245"/>
      <c r="O3" s="244"/>
      <c r="P3" s="245"/>
      <c r="Q3" s="244"/>
      <c r="R3" s="239"/>
      <c r="S3" s="239"/>
      <c r="T3" s="239"/>
      <c r="U3" s="239"/>
      <c r="V3" s="246"/>
      <c r="W3" s="244"/>
      <c r="X3" s="246"/>
      <c r="Y3" s="244"/>
      <c r="Z3" s="245"/>
      <c r="AA3" s="246"/>
      <c r="AB3" s="246"/>
      <c r="AC3" s="244"/>
      <c r="AD3" s="246"/>
      <c r="AE3" s="241"/>
      <c r="AF3" s="236"/>
    </row>
    <row r="4" spans="1:32" s="242" customFormat="1" x14ac:dyDescent="0.2">
      <c r="A4" s="236"/>
      <c r="B4" s="236"/>
      <c r="C4" s="247" t="s">
        <v>111</v>
      </c>
      <c r="D4" s="374">
        <v>2410.23</v>
      </c>
      <c r="E4" s="353"/>
      <c r="F4" s="248"/>
      <c r="G4" s="236"/>
      <c r="H4" s="248"/>
      <c r="I4" s="248"/>
      <c r="J4" s="238"/>
      <c r="K4" s="239"/>
      <c r="L4" s="240"/>
      <c r="M4" s="239"/>
      <c r="N4" s="236"/>
      <c r="O4" s="239"/>
      <c r="P4" s="236"/>
      <c r="Q4" s="239"/>
      <c r="R4" s="239"/>
      <c r="S4" s="244"/>
      <c r="T4" s="244"/>
      <c r="U4" s="244"/>
      <c r="V4" s="241"/>
      <c r="W4" s="239"/>
      <c r="X4" s="241"/>
      <c r="Y4" s="239"/>
      <c r="Z4" s="236"/>
      <c r="AA4" s="241"/>
      <c r="AB4" s="241"/>
      <c r="AC4" s="239"/>
      <c r="AD4" s="241"/>
      <c r="AE4" s="241"/>
      <c r="AF4" s="236"/>
    </row>
    <row r="5" spans="1:32" s="242" customFormat="1" ht="17" thickBot="1" x14ac:dyDescent="0.25">
      <c r="A5" s="236"/>
      <c r="B5" s="236"/>
      <c r="C5" s="249" t="s">
        <v>110</v>
      </c>
      <c r="D5" s="352">
        <f>_TrackerTable35[[#Totals],[Market Value
(in USD)]]</f>
        <v>53121.176569200776</v>
      </c>
      <c r="E5" s="353"/>
      <c r="F5" s="248"/>
      <c r="G5" s="245"/>
      <c r="H5" s="248"/>
      <c r="I5" s="248"/>
      <c r="J5" s="238"/>
      <c r="K5" s="239"/>
      <c r="L5" s="240"/>
      <c r="M5" s="239"/>
      <c r="N5" s="236"/>
      <c r="O5" s="239"/>
      <c r="P5" s="236"/>
      <c r="Q5" s="239"/>
      <c r="R5" s="239"/>
      <c r="S5" s="239"/>
      <c r="T5" s="239"/>
      <c r="U5" s="239"/>
      <c r="V5" s="241"/>
      <c r="W5" s="239"/>
      <c r="X5" s="241"/>
      <c r="Y5" s="239"/>
      <c r="Z5" s="236"/>
      <c r="AA5" s="241"/>
      <c r="AB5" s="241"/>
      <c r="AC5" s="239"/>
      <c r="AD5" s="241"/>
      <c r="AE5" s="241"/>
      <c r="AF5" s="236"/>
    </row>
    <row r="6" spans="1:32" s="242" customFormat="1" x14ac:dyDescent="0.2">
      <c r="A6" s="236"/>
      <c r="B6" s="236"/>
      <c r="C6" s="247" t="s">
        <v>109</v>
      </c>
      <c r="D6" s="370">
        <f>SUM(D4:D5)</f>
        <v>55531.406569200779</v>
      </c>
      <c r="E6" s="236"/>
      <c r="F6" s="248"/>
      <c r="G6" s="236"/>
      <c r="H6" s="248"/>
      <c r="I6" s="248"/>
      <c r="J6" s="238"/>
      <c r="K6" s="239"/>
      <c r="L6" s="240"/>
      <c r="M6" s="239"/>
      <c r="N6" s="236"/>
      <c r="O6" s="239"/>
      <c r="P6" s="236"/>
      <c r="Q6" s="239"/>
      <c r="R6" s="239"/>
      <c r="S6" s="239"/>
      <c r="T6" s="239"/>
      <c r="U6" s="239"/>
      <c r="V6" s="241"/>
      <c r="W6" s="239"/>
      <c r="X6" s="241"/>
      <c r="Y6" s="239"/>
      <c r="Z6" s="236"/>
      <c r="AA6" s="241"/>
      <c r="AB6" s="241"/>
      <c r="AC6" s="239"/>
      <c r="AD6" s="241"/>
      <c r="AE6" s="241"/>
      <c r="AF6" s="236"/>
    </row>
    <row r="7" spans="1:32" s="242" customFormat="1" ht="17" thickBot="1" x14ac:dyDescent="0.25">
      <c r="A7" s="236"/>
      <c r="B7" s="236"/>
      <c r="C7" s="245"/>
      <c r="D7" s="250"/>
      <c r="E7" s="248"/>
      <c r="F7" s="248"/>
      <c r="G7" s="236"/>
      <c r="H7" s="248"/>
      <c r="I7" s="248"/>
      <c r="J7" s="238"/>
      <c r="K7" s="239"/>
      <c r="L7" s="240"/>
      <c r="M7" s="239"/>
      <c r="N7" s="236"/>
      <c r="O7" s="239"/>
      <c r="P7" s="236"/>
      <c r="Q7" s="239"/>
      <c r="R7" s="251" t="s">
        <v>108</v>
      </c>
      <c r="S7" s="252"/>
      <c r="T7" s="251" t="s">
        <v>107</v>
      </c>
      <c r="U7" s="251"/>
      <c r="V7" s="253"/>
      <c r="W7" s="251" t="s">
        <v>54</v>
      </c>
      <c r="X7" s="253"/>
      <c r="Y7" s="254" t="s">
        <v>106</v>
      </c>
      <c r="Z7" s="255"/>
      <c r="AA7" s="253"/>
      <c r="AB7" s="253"/>
      <c r="AC7" s="251" t="s">
        <v>101</v>
      </c>
      <c r="AD7" s="256"/>
      <c r="AE7" s="257"/>
      <c r="AF7" s="236"/>
    </row>
    <row r="8" spans="1:32" s="268" customFormat="1" ht="15" thickBot="1" x14ac:dyDescent="0.2">
      <c r="A8" s="258"/>
      <c r="B8" s="259"/>
      <c r="C8" s="259" t="s">
        <v>105</v>
      </c>
      <c r="D8" s="260"/>
      <c r="E8" s="259"/>
      <c r="F8" s="259"/>
      <c r="G8" s="259"/>
      <c r="H8" s="259"/>
      <c r="I8" s="259" t="s">
        <v>3</v>
      </c>
      <c r="J8" s="261"/>
      <c r="K8" s="254" t="s">
        <v>104</v>
      </c>
      <c r="L8" s="262" t="s">
        <v>103</v>
      </c>
      <c r="M8" s="254"/>
      <c r="N8" s="259" t="s">
        <v>102</v>
      </c>
      <c r="O8" s="254"/>
      <c r="P8" s="259" t="s">
        <v>101</v>
      </c>
      <c r="Q8" s="254" t="s">
        <v>100</v>
      </c>
      <c r="R8" s="263" t="s">
        <v>188</v>
      </c>
      <c r="S8" s="264"/>
      <c r="T8" s="264"/>
      <c r="U8" s="264"/>
      <c r="V8" s="265"/>
      <c r="W8" s="264"/>
      <c r="X8" s="265"/>
      <c r="Y8" s="264"/>
      <c r="Z8" s="266"/>
      <c r="AA8" s="265"/>
      <c r="AB8" s="265"/>
      <c r="AC8" s="264"/>
      <c r="AD8" s="265"/>
      <c r="AE8" s="267"/>
      <c r="AF8" s="258"/>
    </row>
    <row r="9" spans="1:32" s="286" customFormat="1" ht="80.25" customHeight="1" x14ac:dyDescent="0.15">
      <c r="A9" s="269"/>
      <c r="B9" s="270" t="s">
        <v>99</v>
      </c>
      <c r="C9" s="355" t="s">
        <v>98</v>
      </c>
      <c r="D9" s="270" t="s">
        <v>97</v>
      </c>
      <c r="E9" s="270" t="s">
        <v>96</v>
      </c>
      <c r="F9" s="270" t="s">
        <v>68</v>
      </c>
      <c r="G9" s="270" t="s">
        <v>49</v>
      </c>
      <c r="H9" s="270" t="s">
        <v>61</v>
      </c>
      <c r="I9" s="271" t="s">
        <v>95</v>
      </c>
      <c r="J9" s="272" t="s">
        <v>94</v>
      </c>
      <c r="K9" s="273" t="s">
        <v>93</v>
      </c>
      <c r="L9" s="274" t="s">
        <v>46</v>
      </c>
      <c r="M9" s="275" t="s">
        <v>211</v>
      </c>
      <c r="N9" s="276" t="s">
        <v>92</v>
      </c>
      <c r="O9" s="277" t="s">
        <v>91</v>
      </c>
      <c r="P9" s="276" t="s">
        <v>90</v>
      </c>
      <c r="Q9" s="278" t="s">
        <v>89</v>
      </c>
      <c r="R9" s="275" t="s">
        <v>210</v>
      </c>
      <c r="S9" s="277" t="s">
        <v>88</v>
      </c>
      <c r="T9" s="279" t="s">
        <v>87</v>
      </c>
      <c r="U9" s="275" t="s">
        <v>187</v>
      </c>
      <c r="V9" s="280" t="s">
        <v>86</v>
      </c>
      <c r="W9" s="275" t="s">
        <v>85</v>
      </c>
      <c r="X9" s="281" t="s">
        <v>84</v>
      </c>
      <c r="Y9" s="282" t="s">
        <v>83</v>
      </c>
      <c r="Z9" s="283" t="s">
        <v>82</v>
      </c>
      <c r="AA9" s="284" t="s">
        <v>81</v>
      </c>
      <c r="AB9" s="285" t="s">
        <v>80</v>
      </c>
      <c r="AC9" s="279" t="s">
        <v>79</v>
      </c>
      <c r="AD9" s="281" t="s">
        <v>78</v>
      </c>
      <c r="AE9" s="280" t="s">
        <v>77</v>
      </c>
      <c r="AF9" s="269"/>
    </row>
    <row r="10" spans="1:32" s="300" customFormat="1" ht="32" customHeight="1" x14ac:dyDescent="0.15">
      <c r="A10" s="287"/>
      <c r="B10" s="288">
        <v>1</v>
      </c>
      <c r="C10" s="356" t="s">
        <v>214</v>
      </c>
      <c r="D10" s="289" t="s">
        <v>215</v>
      </c>
      <c r="E10" s="290" t="s">
        <v>75</v>
      </c>
      <c r="F10" s="288" t="s">
        <v>67</v>
      </c>
      <c r="G10" s="290" t="s">
        <v>50</v>
      </c>
      <c r="H10" s="288" t="s">
        <v>56</v>
      </c>
      <c r="I10" s="291" t="s">
        <v>74</v>
      </c>
      <c r="J10" s="292">
        <v>1.35</v>
      </c>
      <c r="K10" s="293">
        <v>8000</v>
      </c>
      <c r="L10" s="294">
        <v>2000</v>
      </c>
      <c r="M10" s="295">
        <v>2.0390000000000001</v>
      </c>
      <c r="N10" s="296">
        <v>44562</v>
      </c>
      <c r="O10" s="297">
        <v>2.2999999999999998</v>
      </c>
      <c r="P10" s="298">
        <v>483.43</v>
      </c>
      <c r="Q10" s="299">
        <v>1.99</v>
      </c>
      <c r="R10" s="329">
        <f>IFERROR(_TrackerTable35[[#This Row],[Avg Cost per Share
(in Listed Currency)]]/_TrackerTable35[[#This Row],[Exchange Rate 
(1 USD to xxx Listed Currency)]],"NA")</f>
        <v>1.5103703703703704</v>
      </c>
      <c r="S10" s="330">
        <f>IFERROR(_TrackerTable35[[#This Row],[Quantity]]*_TrackerTable35[[#This Row],[Avg Cost per Share
(in USD)]],"NA")</f>
        <v>3020.7407407407409</v>
      </c>
      <c r="T10" s="331">
        <f>IFERROR(_TrackerTable35[[#This Row],[Planned Allocation
(in Listed Currency)]]/_TrackerTable35[[#This Row],[Exchange Rate 
(1 USD to xxx Listed Currency)]],"NA")</f>
        <v>5925.9259259259252</v>
      </c>
      <c r="U10" s="332">
        <f>IFERROR(_TrackerTable35[[#This Row],[Planned Allocation
(in USD)]]/_TrackerTable35[[#Totals],[Planned Allocation
(in USD)]],"NA")</f>
        <v>0.12899620173250675</v>
      </c>
      <c r="V10" s="333">
        <f>IFERROR(_TrackerTable35[[#This Row],[Total Cost
(in USD)]]/_TrackerTable35[[#This Row],[Planned Allocation
(in USD)]],"NA")</f>
        <v>0.50975000000000004</v>
      </c>
      <c r="W10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1.7037037037037035</v>
      </c>
      <c r="X10" s="334">
        <f>IFERROR(_TrackerTable35[[#This Row],[Current Price
(in USD)]]/_TrackerTable35[[#This Row],[Intrinsic Value
(in USD)]]-1,"NA")</f>
        <v>-0.13478260869565217</v>
      </c>
      <c r="Y10" s="331">
        <f>IF(_TrackerTable35[[#This Row],[Exchange Rate 
(1 USD to xxx Listed Currency)]]&gt;0,_TrackerTable35[[#This Row],[Current  Price
(in Listed Currency)]]/_TrackerTable35[[#This Row],[Exchange Rate 
(1 USD to xxx Listed Currency)]],"NA")</f>
        <v>1.4740740740740739</v>
      </c>
      <c r="Z10" s="329">
        <f>IFERROR(_TrackerTable35[[#This Row],[Current Price
(in USD)]]*_TrackerTable35[[#This Row],[Quantity]],"NA")</f>
        <v>2948.1481481481478</v>
      </c>
      <c r="AA10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5.5498547633025509E-2</v>
      </c>
      <c r="AB10" s="336">
        <f>IFERROR(_TrackerTable35[[#This Row],[Market Value
(in USD)]]/_TrackerTable35[[#This Row],[Total Cost
(in USD)]]-1,"NA")</f>
        <v>-2.4031387935262494E-2</v>
      </c>
      <c r="AC10" s="331">
        <f>IFERROR(_TrackerTable35[[#This Row],[Total Dividend Received
(in Listed Currency)]]/_TrackerTable35[[#This Row],[Exchange Rate 
(1 USD to xxx Listed Currency)]],"NA")</f>
        <v>358.09629629629626</v>
      </c>
      <c r="AD10" s="334">
        <f>IFERROR(_TrackerTable35[[#This Row],[Total Dividend Received
(in USD)]]/_TrackerTable35[[#This Row],[Total Cost
(in USD)]],"NA")</f>
        <v>0.11854585581167237</v>
      </c>
      <c r="AE10" s="336">
        <f>IFERROR((_TrackerTable35[[#This Row],[Total Dividend Received
(in USD)]]+_TrackerTable35[[#This Row],[Market Value
(in USD)]])/_TrackerTable35[[#This Row],[Total Cost
(in USD)]]-1,"NA")</f>
        <v>9.4514467876409824E-2</v>
      </c>
      <c r="AF10" s="287"/>
    </row>
    <row r="11" spans="1:32" s="300" customFormat="1" ht="32" customHeight="1" x14ac:dyDescent="0.15">
      <c r="A11" s="287"/>
      <c r="B11" s="288">
        <v>2</v>
      </c>
      <c r="C11" s="356" t="s">
        <v>216</v>
      </c>
      <c r="D11" s="289" t="s">
        <v>217</v>
      </c>
      <c r="E11" s="290" t="s">
        <v>52</v>
      </c>
      <c r="F11" s="288" t="s">
        <v>47</v>
      </c>
      <c r="G11" s="290" t="s">
        <v>70</v>
      </c>
      <c r="H11" s="288" t="s">
        <v>57</v>
      </c>
      <c r="I11" s="291" t="s">
        <v>76</v>
      </c>
      <c r="J11" s="292">
        <v>1</v>
      </c>
      <c r="K11" s="293">
        <v>5000</v>
      </c>
      <c r="L11" s="294">
        <v>30</v>
      </c>
      <c r="M11" s="295">
        <v>164.69</v>
      </c>
      <c r="N11" s="296">
        <v>44562</v>
      </c>
      <c r="O11" s="297">
        <v>190</v>
      </c>
      <c r="P11" s="298">
        <v>0</v>
      </c>
      <c r="Q11" s="299">
        <v>226.18</v>
      </c>
      <c r="R11" s="329">
        <f>IFERROR(_TrackerTable35[[#This Row],[Avg Cost per Share
(in Listed Currency)]]/_TrackerTable35[[#This Row],[Exchange Rate 
(1 USD to xxx Listed Currency)]],"NA")</f>
        <v>164.69</v>
      </c>
      <c r="S11" s="330">
        <f>IFERROR(_TrackerTable35[[#This Row],[Quantity]]*_TrackerTable35[[#This Row],[Avg Cost per Share
(in USD)]],"NA")</f>
        <v>4940.7</v>
      </c>
      <c r="T11" s="331">
        <f>IFERROR(_TrackerTable35[[#This Row],[Planned Allocation
(in Listed Currency)]]/_TrackerTable35[[#This Row],[Exchange Rate 
(1 USD to xxx Listed Currency)]],"NA")</f>
        <v>5000</v>
      </c>
      <c r="U11" s="332">
        <f>IFERROR(_TrackerTable35[[#This Row],[Planned Allocation
(in USD)]]/_TrackerTable35[[#Totals],[Planned Allocation
(in USD)]],"NA")</f>
        <v>0.10884054521180259</v>
      </c>
      <c r="V11" s="333">
        <f>IFERROR(_TrackerTable35[[#This Row],[Total Cost
(in USD)]]/_TrackerTable35[[#This Row],[Planned Allocation
(in USD)]],"NA")</f>
        <v>0.98814000000000002</v>
      </c>
      <c r="W11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190</v>
      </c>
      <c r="X11" s="334">
        <f>IFERROR(_TrackerTable35[[#This Row],[Current Price
(in USD)]]/_TrackerTable35[[#This Row],[Intrinsic Value
(in USD)]]-1,"NA")</f>
        <v>0.19042105263157905</v>
      </c>
      <c r="Y11" s="331">
        <f>IF(_TrackerTable35[[#This Row],[Exchange Rate 
(1 USD to xxx Listed Currency)]]&gt;0,_TrackerTable35[[#This Row],[Current  Price
(in Listed Currency)]]/_TrackerTable35[[#This Row],[Exchange Rate 
(1 USD to xxx Listed Currency)]],"NA")</f>
        <v>226.18</v>
      </c>
      <c r="Z11" s="329">
        <f>IFERROR(_TrackerTable35[[#This Row],[Current Price
(in USD)]]*_TrackerTable35[[#This Row],[Quantity]],"NA")</f>
        <v>6785.4000000000005</v>
      </c>
      <c r="AA11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0.12773436957219281</v>
      </c>
      <c r="AB11" s="336">
        <f>IFERROR(_TrackerTable35[[#This Row],[Market Value
(in USD)]]/_TrackerTable35[[#This Row],[Total Cost
(in USD)]]-1,"NA")</f>
        <v>0.37336814621409942</v>
      </c>
      <c r="AC11" s="331">
        <f>IFERROR(_TrackerTable35[[#This Row],[Total Dividend Received
(in Listed Currency)]]/_TrackerTable35[[#This Row],[Exchange Rate 
(1 USD to xxx Listed Currency)]],"NA")</f>
        <v>0</v>
      </c>
      <c r="AD11" s="334">
        <f>IFERROR(_TrackerTable35[[#This Row],[Total Dividend Received
(in USD)]]/_TrackerTable35[[#This Row],[Total Cost
(in USD)]],"NA")</f>
        <v>0</v>
      </c>
      <c r="AE11" s="336">
        <f>IFERROR((_TrackerTable35[[#This Row],[Total Dividend Received
(in USD)]]+_TrackerTable35[[#This Row],[Market Value
(in USD)]])/_TrackerTable35[[#This Row],[Total Cost
(in USD)]]-1,"NA")</f>
        <v>0.37336814621409942</v>
      </c>
      <c r="AF11" s="287"/>
    </row>
    <row r="12" spans="1:32" s="300" customFormat="1" ht="32" customHeight="1" x14ac:dyDescent="0.15">
      <c r="A12" s="287"/>
      <c r="B12" s="288">
        <v>3</v>
      </c>
      <c r="C12" s="356" t="s">
        <v>218</v>
      </c>
      <c r="D12" s="289" t="s">
        <v>219</v>
      </c>
      <c r="E12" s="290" t="s">
        <v>51</v>
      </c>
      <c r="F12" s="288" t="s">
        <v>65</v>
      </c>
      <c r="G12" s="290" t="s">
        <v>70</v>
      </c>
      <c r="H12" s="288" t="s">
        <v>57</v>
      </c>
      <c r="I12" s="291" t="s">
        <v>76</v>
      </c>
      <c r="J12" s="292">
        <v>1</v>
      </c>
      <c r="K12" s="293">
        <v>5000</v>
      </c>
      <c r="L12" s="294">
        <v>6</v>
      </c>
      <c r="M12" s="295">
        <v>506.84</v>
      </c>
      <c r="N12" s="296">
        <v>44562</v>
      </c>
      <c r="O12" s="297">
        <v>592</v>
      </c>
      <c r="P12" s="298">
        <v>0</v>
      </c>
      <c r="Q12" s="299">
        <v>532.37</v>
      </c>
      <c r="R12" s="329">
        <f>IFERROR(_TrackerTable35[[#This Row],[Avg Cost per Share
(in Listed Currency)]]/_TrackerTable35[[#This Row],[Exchange Rate 
(1 USD to xxx Listed Currency)]],"NA")</f>
        <v>506.84</v>
      </c>
      <c r="S12" s="330">
        <f>IFERROR(_TrackerTable35[[#This Row],[Quantity]]*_TrackerTable35[[#This Row],[Avg Cost per Share
(in USD)]],"NA")</f>
        <v>3041.04</v>
      </c>
      <c r="T12" s="331">
        <f>IFERROR(_TrackerTable35[[#This Row],[Planned Allocation
(in Listed Currency)]]/_TrackerTable35[[#This Row],[Exchange Rate 
(1 USD to xxx Listed Currency)]],"NA")</f>
        <v>5000</v>
      </c>
      <c r="U12" s="332">
        <f>IFERROR(_TrackerTable35[[#This Row],[Planned Allocation
(in USD)]]/_TrackerTable35[[#Totals],[Planned Allocation
(in USD)]],"NA")</f>
        <v>0.10884054521180259</v>
      </c>
      <c r="V12" s="333">
        <f>IFERROR(_TrackerTable35[[#This Row],[Total Cost
(in USD)]]/_TrackerTable35[[#This Row],[Planned Allocation
(in USD)]],"NA")</f>
        <v>0.60820799999999997</v>
      </c>
      <c r="W12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592</v>
      </c>
      <c r="X12" s="334">
        <f>IFERROR(_TrackerTable35[[#This Row],[Current Price
(in USD)]]/_TrackerTable35[[#This Row],[Intrinsic Value
(in USD)]]-1,"NA")</f>
        <v>-0.10072635135135133</v>
      </c>
      <c r="Y12" s="331">
        <f>IF(_TrackerTable35[[#This Row],[Exchange Rate 
(1 USD to xxx Listed Currency)]]&gt;0,_TrackerTable35[[#This Row],[Current  Price
(in Listed Currency)]]/_TrackerTable35[[#This Row],[Exchange Rate 
(1 USD to xxx Listed Currency)]],"NA")</f>
        <v>532.37</v>
      </c>
      <c r="Z12" s="329">
        <f>IFERROR(_TrackerTable35[[#This Row],[Current Price
(in USD)]]*_TrackerTable35[[#This Row],[Quantity]],"NA")</f>
        <v>3194.2200000000003</v>
      </c>
      <c r="AA12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6.0130821760675815E-2</v>
      </c>
      <c r="AB12" s="336">
        <f>IFERROR(_TrackerTable35[[#This Row],[Market Value
(in USD)]]/_TrackerTable35[[#This Row],[Total Cost
(in USD)]]-1,"NA")</f>
        <v>5.0370925735932603E-2</v>
      </c>
      <c r="AC12" s="331">
        <f>IFERROR(_TrackerTable35[[#This Row],[Total Dividend Received
(in Listed Currency)]]/_TrackerTable35[[#This Row],[Exchange Rate 
(1 USD to xxx Listed Currency)]],"NA")</f>
        <v>0</v>
      </c>
      <c r="AD12" s="334">
        <f>IFERROR(_TrackerTable35[[#This Row],[Total Dividend Received
(in USD)]]/_TrackerTable35[[#This Row],[Total Cost
(in USD)]],"NA")</f>
        <v>0</v>
      </c>
      <c r="AE12" s="336">
        <f>IFERROR((_TrackerTable35[[#This Row],[Total Dividend Received
(in USD)]]+_TrackerTable35[[#This Row],[Market Value
(in USD)]])/_TrackerTable35[[#This Row],[Total Cost
(in USD)]]-1,"NA")</f>
        <v>5.0370925735932603E-2</v>
      </c>
      <c r="AF12" s="287"/>
    </row>
    <row r="13" spans="1:32" s="300" customFormat="1" ht="32" customHeight="1" x14ac:dyDescent="0.15">
      <c r="A13" s="287"/>
      <c r="B13" s="288">
        <v>4</v>
      </c>
      <c r="C13" s="356" t="s">
        <v>163</v>
      </c>
      <c r="D13" s="289" t="s">
        <v>220</v>
      </c>
      <c r="E13" s="290" t="s">
        <v>119</v>
      </c>
      <c r="F13" s="288" t="s">
        <v>65</v>
      </c>
      <c r="G13" s="290" t="s">
        <v>70</v>
      </c>
      <c r="H13" s="288" t="s">
        <v>191</v>
      </c>
      <c r="I13" s="291" t="s">
        <v>221</v>
      </c>
      <c r="J13" s="292">
        <v>7.79</v>
      </c>
      <c r="K13" s="293">
        <v>39000</v>
      </c>
      <c r="L13" s="294">
        <v>80</v>
      </c>
      <c r="M13" s="295">
        <v>475.86</v>
      </c>
      <c r="N13" s="296">
        <v>44562</v>
      </c>
      <c r="O13" s="297">
        <v>642</v>
      </c>
      <c r="P13" s="298">
        <v>0</v>
      </c>
      <c r="Q13" s="299">
        <v>481.2</v>
      </c>
      <c r="R13" s="329">
        <f>IFERROR(_TrackerTable35[[#This Row],[Avg Cost per Share
(in Listed Currency)]]/_TrackerTable35[[#This Row],[Exchange Rate 
(1 USD to xxx Listed Currency)]],"NA")</f>
        <v>61.086007702182286</v>
      </c>
      <c r="S13" s="330">
        <f>IFERROR(_TrackerTable35[[#This Row],[Quantity]]*_TrackerTable35[[#This Row],[Avg Cost per Share
(in USD)]],"NA")</f>
        <v>4886.8806161745833</v>
      </c>
      <c r="T13" s="331">
        <f>IFERROR(_TrackerTable35[[#This Row],[Planned Allocation
(in Listed Currency)]]/_TrackerTable35[[#This Row],[Exchange Rate 
(1 USD to xxx Listed Currency)]],"NA")</f>
        <v>5006.4184852374838</v>
      </c>
      <c r="U13" s="332">
        <f>IFERROR(_TrackerTable35[[#This Row],[Planned Allocation
(in USD)]]/_TrackerTable35[[#Totals],[Planned Allocation
(in USD)]],"NA")</f>
        <v>0.10898026349833891</v>
      </c>
      <c r="V13" s="333">
        <f>IFERROR(_TrackerTable35[[#This Row],[Total Cost
(in USD)]]/_TrackerTable35[[#This Row],[Planned Allocation
(in USD)]],"NA")</f>
        <v>0.97612307692307709</v>
      </c>
      <c r="W13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82.413350449293972</v>
      </c>
      <c r="X13" s="334">
        <f>IFERROR(_TrackerTable35[[#This Row],[Current Price
(in USD)]]/_TrackerTable35[[#This Row],[Intrinsic Value
(in USD)]]-1,"NA")</f>
        <v>-0.25046728971962617</v>
      </c>
      <c r="Y13" s="331">
        <f>IF(_TrackerTable35[[#This Row],[Exchange Rate 
(1 USD to xxx Listed Currency)]]&gt;0,_TrackerTable35[[#This Row],[Current  Price
(in Listed Currency)]]/_TrackerTable35[[#This Row],[Exchange Rate 
(1 USD to xxx Listed Currency)]],"NA")</f>
        <v>61.771501925545572</v>
      </c>
      <c r="Z13" s="329">
        <f>IFERROR(_TrackerTable35[[#This Row],[Current Price
(in USD)]]*_TrackerTable35[[#This Row],[Quantity]],"NA")</f>
        <v>4941.7201540436454</v>
      </c>
      <c r="AA13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9.3027309882831449E-2</v>
      </c>
      <c r="AB13" s="336">
        <f>IFERROR(_TrackerTable35[[#This Row],[Market Value
(in USD)]]/_TrackerTable35[[#This Row],[Total Cost
(in USD)]]-1,"NA")</f>
        <v>1.1221787920816961E-2</v>
      </c>
      <c r="AC13" s="331">
        <f>IFERROR(_TrackerTable35[[#This Row],[Total Dividend Received
(in Listed Currency)]]/_TrackerTable35[[#This Row],[Exchange Rate 
(1 USD to xxx Listed Currency)]],"NA")</f>
        <v>0</v>
      </c>
      <c r="AD13" s="334">
        <f>IFERROR(_TrackerTable35[[#This Row],[Total Dividend Received
(in USD)]]/_TrackerTable35[[#This Row],[Total Cost
(in USD)]],"NA")</f>
        <v>0</v>
      </c>
      <c r="AE13" s="336">
        <f>IFERROR((_TrackerTable35[[#This Row],[Total Dividend Received
(in USD)]]+_TrackerTable35[[#This Row],[Market Value
(in USD)]])/_TrackerTable35[[#This Row],[Total Cost
(in USD)]]-1,"NA")</f>
        <v>1.1221787920816961E-2</v>
      </c>
      <c r="AF13" s="287"/>
    </row>
    <row r="14" spans="1:32" s="300" customFormat="1" ht="32" customHeight="1" x14ac:dyDescent="0.15">
      <c r="A14" s="287"/>
      <c r="B14" s="288">
        <v>5</v>
      </c>
      <c r="C14" s="356" t="s">
        <v>222</v>
      </c>
      <c r="D14" s="289" t="s">
        <v>223</v>
      </c>
      <c r="E14" s="290" t="s">
        <v>115</v>
      </c>
      <c r="F14" s="288" t="s">
        <v>65</v>
      </c>
      <c r="G14" s="290" t="s">
        <v>71</v>
      </c>
      <c r="H14" s="288" t="s">
        <v>57</v>
      </c>
      <c r="I14" s="291" t="s">
        <v>76</v>
      </c>
      <c r="J14" s="292">
        <v>1</v>
      </c>
      <c r="K14" s="293">
        <v>5000</v>
      </c>
      <c r="L14" s="294">
        <v>25</v>
      </c>
      <c r="M14" s="295">
        <v>200.17</v>
      </c>
      <c r="N14" s="296">
        <v>44562</v>
      </c>
      <c r="O14" s="297">
        <v>285</v>
      </c>
      <c r="P14" s="298">
        <v>0</v>
      </c>
      <c r="Q14" s="299">
        <v>239.7</v>
      </c>
      <c r="R14" s="329">
        <f>IFERROR(_TrackerTable35[[#This Row],[Avg Cost per Share
(in Listed Currency)]]/_TrackerTable35[[#This Row],[Exchange Rate 
(1 USD to xxx Listed Currency)]],"NA")</f>
        <v>200.17</v>
      </c>
      <c r="S14" s="330">
        <f>IFERROR(_TrackerTable35[[#This Row],[Quantity]]*_TrackerTable35[[#This Row],[Avg Cost per Share
(in USD)]],"NA")</f>
        <v>5004.25</v>
      </c>
      <c r="T14" s="331">
        <f>IFERROR(_TrackerTable35[[#This Row],[Planned Allocation
(in Listed Currency)]]/_TrackerTable35[[#This Row],[Exchange Rate 
(1 USD to xxx Listed Currency)]],"NA")</f>
        <v>5000</v>
      </c>
      <c r="U14" s="332">
        <f>IFERROR(_TrackerTable35[[#This Row],[Planned Allocation
(in USD)]]/_TrackerTable35[[#Totals],[Planned Allocation
(in USD)]],"NA")</f>
        <v>0.10884054521180259</v>
      </c>
      <c r="V14" s="333">
        <f>IFERROR(_TrackerTable35[[#This Row],[Total Cost
(in USD)]]/_TrackerTable35[[#This Row],[Planned Allocation
(in USD)]],"NA")</f>
        <v>1.00085</v>
      </c>
      <c r="W14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285</v>
      </c>
      <c r="X14" s="334">
        <f>IFERROR(_TrackerTable35[[#This Row],[Current Price
(in USD)]]/_TrackerTable35[[#This Row],[Intrinsic Value
(in USD)]]-1,"NA")</f>
        <v>-0.15894736842105273</v>
      </c>
      <c r="Y14" s="331">
        <f>IF(_TrackerTable35[[#This Row],[Exchange Rate 
(1 USD to xxx Listed Currency)]]&gt;0,_TrackerTable35[[#This Row],[Current  Price
(in Listed Currency)]]/_TrackerTable35[[#This Row],[Exchange Rate 
(1 USD to xxx Listed Currency)]],"NA")</f>
        <v>239.7</v>
      </c>
      <c r="Z14" s="329">
        <f>IFERROR(_TrackerTable35[[#This Row],[Current Price
(in USD)]]*_TrackerTable35[[#This Row],[Quantity]],"NA")</f>
        <v>5992.5</v>
      </c>
      <c r="AA14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0.11280811885244278</v>
      </c>
      <c r="AB14" s="336">
        <f>IFERROR(_TrackerTable35[[#This Row],[Market Value
(in USD)]]/_TrackerTable35[[#This Row],[Total Cost
(in USD)]]-1,"NA")</f>
        <v>0.1974821401808462</v>
      </c>
      <c r="AC14" s="331">
        <f>IFERROR(_TrackerTable35[[#This Row],[Total Dividend Received
(in Listed Currency)]]/_TrackerTable35[[#This Row],[Exchange Rate 
(1 USD to xxx Listed Currency)]],"NA")</f>
        <v>0</v>
      </c>
      <c r="AD14" s="334">
        <f>IFERROR(_TrackerTable35[[#This Row],[Total Dividend Received
(in USD)]]/_TrackerTable35[[#This Row],[Total Cost
(in USD)]],"NA")</f>
        <v>0</v>
      </c>
      <c r="AE14" s="336">
        <f>IFERROR((_TrackerTable35[[#This Row],[Total Dividend Received
(in USD)]]+_TrackerTable35[[#This Row],[Market Value
(in USD)]])/_TrackerTable35[[#This Row],[Total Cost
(in USD)]]-1,"NA")</f>
        <v>0.1974821401808462</v>
      </c>
      <c r="AF14" s="287"/>
    </row>
    <row r="15" spans="1:32" s="300" customFormat="1" ht="32" customHeight="1" x14ac:dyDescent="0.15">
      <c r="A15" s="287"/>
      <c r="B15" s="288">
        <v>6</v>
      </c>
      <c r="C15" s="356" t="s">
        <v>224</v>
      </c>
      <c r="D15" s="289" t="s">
        <v>225</v>
      </c>
      <c r="E15" s="290" t="s">
        <v>119</v>
      </c>
      <c r="F15" s="288" t="s">
        <v>65</v>
      </c>
      <c r="G15" s="290" t="s">
        <v>70</v>
      </c>
      <c r="H15" s="288" t="s">
        <v>57</v>
      </c>
      <c r="I15" s="291" t="s">
        <v>76</v>
      </c>
      <c r="J15" s="292">
        <v>1</v>
      </c>
      <c r="K15" s="293">
        <v>5000</v>
      </c>
      <c r="L15" s="294">
        <v>4</v>
      </c>
      <c r="M15" s="295">
        <v>1361.06</v>
      </c>
      <c r="N15" s="296">
        <v>44562</v>
      </c>
      <c r="O15" s="297">
        <v>3228</v>
      </c>
      <c r="P15" s="298">
        <v>0</v>
      </c>
      <c r="Q15" s="299">
        <v>2828.61</v>
      </c>
      <c r="R15" s="331">
        <f>IFERROR(_TrackerTable35[[#This Row],[Avg Cost per Share
(in Listed Currency)]]/_TrackerTable35[[#This Row],[Exchange Rate 
(1 USD to xxx Listed Currency)]],"NA")</f>
        <v>1361.06</v>
      </c>
      <c r="S15" s="330">
        <f>IFERROR(_TrackerTable35[[#This Row],[Quantity]]*_TrackerTable35[[#This Row],[Avg Cost per Share
(in USD)]],"NA")</f>
        <v>5444.24</v>
      </c>
      <c r="T15" s="331">
        <f>IFERROR(_TrackerTable35[[#This Row],[Planned Allocation
(in Listed Currency)]]/_TrackerTable35[[#This Row],[Exchange Rate 
(1 USD to xxx Listed Currency)]],"NA")</f>
        <v>5000</v>
      </c>
      <c r="U15" s="332">
        <f>IFERROR(_TrackerTable35[[#This Row],[Planned Allocation
(in USD)]]/_TrackerTable35[[#Totals],[Planned Allocation
(in USD)]],"NA")</f>
        <v>0.10884054521180259</v>
      </c>
      <c r="V15" s="333">
        <f>IFERROR(_TrackerTable35[[#This Row],[Total Cost
(in USD)]]/_TrackerTable35[[#This Row],[Planned Allocation
(in USD)]],"NA")</f>
        <v>1.088848</v>
      </c>
      <c r="W15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3228</v>
      </c>
      <c r="X15" s="334">
        <f>IFERROR(_TrackerTable35[[#This Row],[Current Price
(in USD)]]/_TrackerTable35[[#This Row],[Intrinsic Value
(in USD)]]-1,"NA")</f>
        <v>-0.12372676579925646</v>
      </c>
      <c r="Y15" s="331">
        <f>IF(_TrackerTable35[[#This Row],[Exchange Rate 
(1 USD to xxx Listed Currency)]]&gt;0,_TrackerTable35[[#This Row],[Current  Price
(in Listed Currency)]]/_TrackerTable35[[#This Row],[Exchange Rate 
(1 USD to xxx Listed Currency)]],"NA")</f>
        <v>2828.61</v>
      </c>
      <c r="Z15" s="329">
        <f>IFERROR(_TrackerTable35[[#This Row],[Current Price
(in USD)]]*_TrackerTable35[[#This Row],[Quantity]],"NA")</f>
        <v>11314.44</v>
      </c>
      <c r="AA15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0.21299302332396042</v>
      </c>
      <c r="AB15" s="336">
        <f>IFERROR(_TrackerTable35[[#This Row],[Market Value
(in USD)]]/_TrackerTable35[[#This Row],[Total Cost
(in USD)]]-1,"NA")</f>
        <v>1.0782404890306085</v>
      </c>
      <c r="AC15" s="329">
        <f>IFERROR(_TrackerTable35[[#This Row],[Total Dividend Received
(in Listed Currency)]]/_TrackerTable35[[#This Row],[Exchange Rate 
(1 USD to xxx Listed Currency)]],"NA")</f>
        <v>0</v>
      </c>
      <c r="AD15" s="334">
        <f>IFERROR(_TrackerTable35[[#This Row],[Total Dividend Received
(in USD)]]/_TrackerTable35[[#This Row],[Total Cost
(in USD)]],"NA")</f>
        <v>0</v>
      </c>
      <c r="AE15" s="336">
        <f>IFERROR((_TrackerTable35[[#This Row],[Total Dividend Received
(in USD)]]+_TrackerTable35[[#This Row],[Market Value
(in USD)]])/_TrackerTable35[[#This Row],[Total Cost
(in USD)]]-1,"NA")</f>
        <v>1.0782404890306085</v>
      </c>
      <c r="AF15" s="287"/>
    </row>
    <row r="16" spans="1:32" s="300" customFormat="1" ht="32" customHeight="1" x14ac:dyDescent="0.15">
      <c r="A16" s="287"/>
      <c r="B16" s="288">
        <v>7</v>
      </c>
      <c r="C16" s="356" t="s">
        <v>226</v>
      </c>
      <c r="D16" s="289" t="s">
        <v>227</v>
      </c>
      <c r="E16" s="290" t="s">
        <v>118</v>
      </c>
      <c r="F16" s="288" t="s">
        <v>65</v>
      </c>
      <c r="G16" s="290" t="s">
        <v>70</v>
      </c>
      <c r="H16" s="288" t="s">
        <v>191</v>
      </c>
      <c r="I16" s="291" t="s">
        <v>221</v>
      </c>
      <c r="J16" s="292">
        <v>7.79</v>
      </c>
      <c r="K16" s="293">
        <v>39000</v>
      </c>
      <c r="L16" s="294">
        <v>137</v>
      </c>
      <c r="M16" s="295">
        <v>283.5</v>
      </c>
      <c r="N16" s="296">
        <v>44562</v>
      </c>
      <c r="O16" s="297">
        <v>416</v>
      </c>
      <c r="P16" s="298">
        <v>0</v>
      </c>
      <c r="Q16" s="299">
        <v>296</v>
      </c>
      <c r="R16" s="331">
        <f>IFERROR(_TrackerTable35[[#This Row],[Avg Cost per Share
(in Listed Currency)]]/_TrackerTable35[[#This Row],[Exchange Rate 
(1 USD to xxx Listed Currency)]],"NA")</f>
        <v>36.39281129653402</v>
      </c>
      <c r="S16" s="330">
        <f>IFERROR(_TrackerTable35[[#This Row],[Quantity]]*_TrackerTable35[[#This Row],[Avg Cost per Share
(in USD)]],"NA")</f>
        <v>4985.8151476251605</v>
      </c>
      <c r="T16" s="331">
        <f>IFERROR(_TrackerTable35[[#This Row],[Planned Allocation
(in Listed Currency)]]/_TrackerTable35[[#This Row],[Exchange Rate 
(1 USD to xxx Listed Currency)]],"NA")</f>
        <v>5006.4184852374838</v>
      </c>
      <c r="U16" s="332">
        <f>IFERROR(_TrackerTable35[[#This Row],[Planned Allocation
(in USD)]]/_TrackerTable35[[#Totals],[Planned Allocation
(in USD)]],"NA")</f>
        <v>0.10898026349833891</v>
      </c>
      <c r="V16" s="333">
        <f>IFERROR(_TrackerTable35[[#This Row],[Total Cost
(in USD)]]/_TrackerTable35[[#This Row],[Planned Allocation
(in USD)]],"NA")</f>
        <v>0.99588461538461548</v>
      </c>
      <c r="W16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53.401797175866498</v>
      </c>
      <c r="X16" s="334">
        <f>IFERROR(_TrackerTable35[[#This Row],[Current Price
(in USD)]]/_TrackerTable35[[#This Row],[Intrinsic Value
(in USD)]]-1,"NA")</f>
        <v>-0.28846153846153855</v>
      </c>
      <c r="Y16" s="331">
        <f>IF(_TrackerTable35[[#This Row],[Exchange Rate 
(1 USD to xxx Listed Currency)]]&gt;0,_TrackerTable35[[#This Row],[Current  Price
(in Listed Currency)]]/_TrackerTable35[[#This Row],[Exchange Rate 
(1 USD to xxx Listed Currency)]],"NA")</f>
        <v>37.997432605905004</v>
      </c>
      <c r="Z16" s="329">
        <f>IFERROR(_TrackerTable35[[#This Row],[Current Price
(in USD)]]*_TrackerTable35[[#This Row],[Quantity]],"NA")</f>
        <v>5205.6482670089854</v>
      </c>
      <c r="AA16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9.7995726059034199E-2</v>
      </c>
      <c r="AB16" s="336">
        <f>IFERROR(_TrackerTable35[[#This Row],[Market Value
(in USD)]]/_TrackerTable35[[#This Row],[Total Cost
(in USD)]]-1,"NA")</f>
        <v>4.4091710758377367E-2</v>
      </c>
      <c r="AC16" s="329">
        <f>IFERROR(_TrackerTable35[[#This Row],[Total Dividend Received
(in Listed Currency)]]/_TrackerTable35[[#This Row],[Exchange Rate 
(1 USD to xxx Listed Currency)]],"NA")</f>
        <v>0</v>
      </c>
      <c r="AD16" s="334">
        <f>IFERROR(_TrackerTable35[[#This Row],[Total Dividend Received
(in USD)]]/_TrackerTable35[[#This Row],[Total Cost
(in USD)]],"NA")</f>
        <v>0</v>
      </c>
      <c r="AE16" s="336">
        <f>IFERROR((_TrackerTable35[[#This Row],[Total Dividend Received
(in USD)]]+_TrackerTable35[[#This Row],[Market Value
(in USD)]])/_TrackerTable35[[#This Row],[Total Cost
(in USD)]]-1,"NA")</f>
        <v>4.4091710758377367E-2</v>
      </c>
      <c r="AF16" s="287"/>
    </row>
    <row r="17" spans="1:36" s="300" customFormat="1" ht="32" customHeight="1" x14ac:dyDescent="0.15">
      <c r="A17" s="287"/>
      <c r="B17" s="288">
        <v>8</v>
      </c>
      <c r="C17" s="356" t="s">
        <v>229</v>
      </c>
      <c r="D17" s="289" t="s">
        <v>230</v>
      </c>
      <c r="E17" s="290" t="s">
        <v>194</v>
      </c>
      <c r="F17" s="288" t="s">
        <v>48</v>
      </c>
      <c r="G17" s="290" t="s">
        <v>70</v>
      </c>
      <c r="H17" s="288" t="s">
        <v>191</v>
      </c>
      <c r="I17" s="291" t="s">
        <v>76</v>
      </c>
      <c r="J17" s="292">
        <v>1</v>
      </c>
      <c r="K17" s="293">
        <v>5000</v>
      </c>
      <c r="L17" s="294">
        <v>154</v>
      </c>
      <c r="M17" s="295">
        <v>31.89</v>
      </c>
      <c r="N17" s="296" t="s">
        <v>231</v>
      </c>
      <c r="O17" s="297" t="s">
        <v>231</v>
      </c>
      <c r="P17" s="298">
        <v>0</v>
      </c>
      <c r="Q17" s="299">
        <v>38.67</v>
      </c>
      <c r="R17" s="331">
        <f>IFERROR(_TrackerTable35[[#This Row],[Avg Cost per Share
(in Listed Currency)]]/_TrackerTable35[[#This Row],[Exchange Rate 
(1 USD to xxx Listed Currency)]],"NA")</f>
        <v>31.89</v>
      </c>
      <c r="S17" s="330">
        <f>IFERROR(_TrackerTable35[[#This Row],[Quantity]]*_TrackerTable35[[#This Row],[Avg Cost per Share
(in USD)]],"NA")</f>
        <v>4911.0600000000004</v>
      </c>
      <c r="T17" s="331">
        <f>IFERROR(_TrackerTable35[[#This Row],[Planned Allocation
(in Listed Currency)]]/_TrackerTable35[[#This Row],[Exchange Rate 
(1 USD to xxx Listed Currency)]],"NA")</f>
        <v>5000</v>
      </c>
      <c r="U17" s="332">
        <f>IFERROR(_TrackerTable35[[#This Row],[Planned Allocation
(in USD)]]/_TrackerTable35[[#Totals],[Planned Allocation
(in USD)]],"NA")</f>
        <v>0.10884054521180259</v>
      </c>
      <c r="V17" s="333">
        <f>IFERROR(_TrackerTable35[[#This Row],[Total Cost
(in USD)]]/_TrackerTable35[[#This Row],[Planned Allocation
(in USD)]],"NA")</f>
        <v>0.98221200000000009</v>
      </c>
      <c r="W17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17" s="334" t="str">
        <f>IFERROR(_TrackerTable35[[#This Row],[Current Price
(in USD)]]/_TrackerTable35[[#This Row],[Intrinsic Value
(in USD)]]-1,"NA")</f>
        <v>NA</v>
      </c>
      <c r="Y17" s="331">
        <f>IF(_TrackerTable35[[#This Row],[Exchange Rate 
(1 USD to xxx Listed Currency)]]&gt;0,_TrackerTable35[[#This Row],[Current  Price
(in Listed Currency)]]/_TrackerTable35[[#This Row],[Exchange Rate 
(1 USD to xxx Listed Currency)]],"NA")</f>
        <v>38.67</v>
      </c>
      <c r="Z17" s="329">
        <f>IFERROR(_TrackerTable35[[#This Row],[Current Price
(in USD)]]*_TrackerTable35[[#This Row],[Quantity]],"NA")</f>
        <v>5955.18</v>
      </c>
      <c r="AA17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0.11210557417233045</v>
      </c>
      <c r="AB17" s="336">
        <f>IFERROR(_TrackerTable35[[#This Row],[Market Value
(in USD)]]/_TrackerTable35[[#This Row],[Total Cost
(in USD)]]-1,"NA")</f>
        <v>0.21260583254938847</v>
      </c>
      <c r="AC17" s="329">
        <f>IFERROR(_TrackerTable35[[#This Row],[Total Dividend Received
(in Listed Currency)]]/_TrackerTable35[[#This Row],[Exchange Rate 
(1 USD to xxx Listed Currency)]],"NA")</f>
        <v>0</v>
      </c>
      <c r="AD17" s="334">
        <f>IFERROR(_TrackerTable35[[#This Row],[Total Dividend Received
(in USD)]]/_TrackerTable35[[#This Row],[Total Cost
(in USD)]],"NA")</f>
        <v>0</v>
      </c>
      <c r="AE17" s="336">
        <f>IFERROR((_TrackerTable35[[#This Row],[Total Dividend Received
(in USD)]]+_TrackerTable35[[#This Row],[Market Value
(in USD)]])/_TrackerTable35[[#This Row],[Total Cost
(in USD)]]-1,"NA")</f>
        <v>0.21260583254938847</v>
      </c>
      <c r="AF17" s="287"/>
    </row>
    <row r="18" spans="1:36" s="300" customFormat="1" ht="32" customHeight="1" x14ac:dyDescent="0.15">
      <c r="A18" s="287"/>
      <c r="B18" s="288">
        <v>9</v>
      </c>
      <c r="C18" s="356" t="s">
        <v>232</v>
      </c>
      <c r="D18" s="289" t="s">
        <v>233</v>
      </c>
      <c r="E18" s="290" t="s">
        <v>117</v>
      </c>
      <c r="F18" s="288" t="s">
        <v>47</v>
      </c>
      <c r="G18" s="290" t="s">
        <v>71</v>
      </c>
      <c r="H18" s="288" t="s">
        <v>57</v>
      </c>
      <c r="I18" s="291" t="s">
        <v>76</v>
      </c>
      <c r="J18" s="292">
        <v>1</v>
      </c>
      <c r="K18" s="293">
        <v>5000</v>
      </c>
      <c r="L18" s="294">
        <v>26</v>
      </c>
      <c r="M18" s="295">
        <v>190.47</v>
      </c>
      <c r="N18" s="296">
        <v>44562</v>
      </c>
      <c r="O18" s="297">
        <v>234</v>
      </c>
      <c r="P18" s="298">
        <v>0</v>
      </c>
      <c r="Q18" s="299">
        <v>260.92</v>
      </c>
      <c r="R18" s="331">
        <f>IFERROR(_TrackerTable35[[#This Row],[Avg Cost per Share
(in Listed Currency)]]/_TrackerTable35[[#This Row],[Exchange Rate 
(1 USD to xxx Listed Currency)]],"NA")</f>
        <v>190.47</v>
      </c>
      <c r="S18" s="330">
        <f>IFERROR(_TrackerTable35[[#This Row],[Quantity]]*_TrackerTable35[[#This Row],[Avg Cost per Share
(in USD)]],"NA")</f>
        <v>4952.22</v>
      </c>
      <c r="T18" s="331">
        <f>IFERROR(_TrackerTable35[[#This Row],[Planned Allocation
(in Listed Currency)]]/_TrackerTable35[[#This Row],[Exchange Rate 
(1 USD to xxx Listed Currency)]],"NA")</f>
        <v>5000</v>
      </c>
      <c r="U18" s="332">
        <f>IFERROR(_TrackerTable35[[#This Row],[Planned Allocation
(in USD)]]/_TrackerTable35[[#Totals],[Planned Allocation
(in USD)]],"NA")</f>
        <v>0.10884054521180259</v>
      </c>
      <c r="V18" s="333">
        <f>IFERROR(_TrackerTable35[[#This Row],[Total Cost
(in USD)]]/_TrackerTable35[[#This Row],[Planned Allocation
(in USD)]],"NA")</f>
        <v>0.9904440000000001</v>
      </c>
      <c r="W18" s="329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234</v>
      </c>
      <c r="X18" s="334">
        <f>IFERROR(_TrackerTable35[[#This Row],[Current Price
(in USD)]]/_TrackerTable35[[#This Row],[Intrinsic Value
(in USD)]]-1,"NA")</f>
        <v>0.11504273504273521</v>
      </c>
      <c r="Y18" s="331">
        <f>IF(_TrackerTable35[[#This Row],[Exchange Rate 
(1 USD to xxx Listed Currency)]]&gt;0,_TrackerTable35[[#This Row],[Current  Price
(in Listed Currency)]]/_TrackerTable35[[#This Row],[Exchange Rate 
(1 USD to xxx Listed Currency)]],"NA")</f>
        <v>260.92</v>
      </c>
      <c r="Z18" s="329">
        <f>IFERROR(_TrackerTable35[[#This Row],[Current Price
(in USD)]]*_TrackerTable35[[#This Row],[Quantity]],"NA")</f>
        <v>6783.92</v>
      </c>
      <c r="AA18" s="335">
        <f>IFERROR(IF(AND(_TrackerTable35[[#This Row],[Market Value
(in USD)]]&gt;0,_TrackerTable35[[#Totals],[Market Value
(in USD)]]&gt;0),_TrackerTable35[[#This Row],[Market Value
(in USD)]]/_TrackerTable35[[#Totals],[Market Value
(in USD)]],"NA"),"NA")</f>
        <v>0.12770650874350667</v>
      </c>
      <c r="AB18" s="336">
        <f>IFERROR(_TrackerTable35[[#This Row],[Market Value
(in USD)]]/_TrackerTable35[[#This Row],[Total Cost
(in USD)]]-1,"NA")</f>
        <v>0.36987452092192985</v>
      </c>
      <c r="AC18" s="329">
        <f>IFERROR(_TrackerTable35[[#This Row],[Total Dividend Received
(in Listed Currency)]]/_TrackerTable35[[#This Row],[Exchange Rate 
(1 USD to xxx Listed Currency)]],"NA")</f>
        <v>0</v>
      </c>
      <c r="AD18" s="334">
        <f>IFERROR(_TrackerTable35[[#This Row],[Total Dividend Received
(in USD)]]/_TrackerTable35[[#This Row],[Total Cost
(in USD)]],"NA")</f>
        <v>0</v>
      </c>
      <c r="AE18" s="336">
        <f>IFERROR((_TrackerTable35[[#This Row],[Total Dividend Received
(in USD)]]+_TrackerTable35[[#This Row],[Market Value
(in USD)]])/_TrackerTable35[[#This Row],[Total Cost
(in USD)]]-1,"NA")</f>
        <v>0.36987452092192985</v>
      </c>
      <c r="AF18" s="287"/>
    </row>
    <row r="19" spans="1:36" s="300" customFormat="1" ht="32" customHeight="1" x14ac:dyDescent="0.15">
      <c r="A19" s="287"/>
      <c r="B19" s="288">
        <v>10</v>
      </c>
      <c r="C19" s="356"/>
      <c r="D19" s="289"/>
      <c r="E19" s="290"/>
      <c r="F19" s="288"/>
      <c r="G19" s="290"/>
      <c r="H19" s="288"/>
      <c r="I19" s="291"/>
      <c r="J19" s="292"/>
      <c r="K19" s="293"/>
      <c r="L19" s="294"/>
      <c r="M19" s="295"/>
      <c r="N19" s="296"/>
      <c r="O19" s="297"/>
      <c r="P19" s="298"/>
      <c r="Q19" s="299"/>
      <c r="R19" s="331" t="str">
        <f>IFERROR(_TrackerTable35[[#This Row],[Avg Cost per Share
(in Listed Currency)]]/_TrackerTable35[[#This Row],[Exchange Rate 
(1 USD to xxx Listed Currency)]],"NA")</f>
        <v>NA</v>
      </c>
      <c r="S19" s="330" t="str">
        <f>IFERROR(_TrackerTable35[[#This Row],[Quantity]]*_TrackerTable35[[#This Row],[Avg Cost per Share
(in USD)]],"NA")</f>
        <v>NA</v>
      </c>
      <c r="T19" s="331" t="str">
        <f>IFERROR(_TrackerTable35[[#This Row],[Planned Allocation
(in Listed Currency)]]/_TrackerTable35[[#This Row],[Exchange Rate 
(1 USD to xxx Listed Currency)]],"NA")</f>
        <v>NA</v>
      </c>
      <c r="U19" s="332" t="str">
        <f>IFERROR(_TrackerTable35[[#This Row],[Planned Allocation
(in USD)]]/_TrackerTable35[[#Totals],[Planned Allocation
(in USD)]],"NA")</f>
        <v>NA</v>
      </c>
      <c r="V19" s="333" t="str">
        <f>IFERROR(_TrackerTable35[[#This Row],[Total Cost
(in USD)]]/_TrackerTable35[[#This Row],[Planned Allocation
(in USD)]],"NA")</f>
        <v>NA</v>
      </c>
      <c r="W19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19" s="334" t="str">
        <f>IFERROR(_TrackerTable35[[#This Row],[Current Price
(in USD)]]/_TrackerTable35[[#This Row],[Intrinsic Value
(in USD)]]-1,"NA")</f>
        <v>NA</v>
      </c>
      <c r="Y19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19" s="329" t="str">
        <f>IFERROR(_TrackerTable35[[#This Row],[Current Price
(in USD)]]*_TrackerTable35[[#This Row],[Quantity]],"NA")</f>
        <v>NA</v>
      </c>
      <c r="AA19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19" s="336" t="str">
        <f>IFERROR(_TrackerTable35[[#This Row],[Market Value
(in USD)]]/_TrackerTable35[[#This Row],[Total Cost
(in USD)]]-1,"NA")</f>
        <v>NA</v>
      </c>
      <c r="AC19" s="329" t="str">
        <f>IFERROR(_TrackerTable35[[#This Row],[Total Dividend Received
(in Listed Currency)]]/_TrackerTable35[[#This Row],[Exchange Rate 
(1 USD to xxx Listed Currency)]],"NA")</f>
        <v>NA</v>
      </c>
      <c r="AD19" s="334" t="str">
        <f>IFERROR(_TrackerTable35[[#This Row],[Total Dividend Received
(in USD)]]/_TrackerTable35[[#This Row],[Total Cost
(in USD)]],"NA")</f>
        <v>NA</v>
      </c>
      <c r="AE19" s="336" t="str">
        <f>IFERROR((_TrackerTable35[[#This Row],[Total Dividend Received
(in USD)]]+_TrackerTable35[[#This Row],[Market Value
(in USD)]])/_TrackerTable35[[#This Row],[Total Cost
(in USD)]]-1,"NA")</f>
        <v>NA</v>
      </c>
      <c r="AF19" s="287"/>
    </row>
    <row r="20" spans="1:36" s="300" customFormat="1" ht="32" customHeight="1" x14ac:dyDescent="0.15">
      <c r="A20" s="287"/>
      <c r="B20" s="288">
        <v>11</v>
      </c>
      <c r="C20" s="356"/>
      <c r="D20" s="289"/>
      <c r="E20" s="290"/>
      <c r="F20" s="288"/>
      <c r="G20" s="290"/>
      <c r="H20" s="288"/>
      <c r="I20" s="291"/>
      <c r="J20" s="292"/>
      <c r="K20" s="293"/>
      <c r="L20" s="294"/>
      <c r="M20" s="295"/>
      <c r="N20" s="296"/>
      <c r="O20" s="297"/>
      <c r="P20" s="298"/>
      <c r="Q20" s="299"/>
      <c r="R20" s="331" t="str">
        <f>IFERROR(_TrackerTable35[[#This Row],[Avg Cost per Share
(in Listed Currency)]]/_TrackerTable35[[#This Row],[Exchange Rate 
(1 USD to xxx Listed Currency)]],"NA")</f>
        <v>NA</v>
      </c>
      <c r="S20" s="330" t="str">
        <f>IFERROR(_TrackerTable35[[#This Row],[Quantity]]*_TrackerTable35[[#This Row],[Avg Cost per Share
(in USD)]],"NA")</f>
        <v>NA</v>
      </c>
      <c r="T20" s="331" t="str">
        <f>IFERROR(_TrackerTable35[[#This Row],[Planned Allocation
(in Listed Currency)]]/_TrackerTable35[[#This Row],[Exchange Rate 
(1 USD to xxx Listed Currency)]],"NA")</f>
        <v>NA</v>
      </c>
      <c r="U20" s="332" t="str">
        <f>IFERROR(_TrackerTable35[[#This Row],[Planned Allocation
(in USD)]]/_TrackerTable35[[#Totals],[Planned Allocation
(in USD)]],"NA")</f>
        <v>NA</v>
      </c>
      <c r="V20" s="333" t="str">
        <f>IFERROR(_TrackerTable35[[#This Row],[Total Cost
(in USD)]]/_TrackerTable35[[#This Row],[Planned Allocation
(in USD)]],"NA")</f>
        <v>NA</v>
      </c>
      <c r="W20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0" s="334" t="str">
        <f>IFERROR(_TrackerTable35[[#This Row],[Current Price
(in USD)]]/_TrackerTable35[[#This Row],[Intrinsic Value
(in USD)]]-1,"NA")</f>
        <v>NA</v>
      </c>
      <c r="Y20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0" s="329" t="str">
        <f>IFERROR(_TrackerTable35[[#This Row],[Current Price
(in USD)]]*_TrackerTable35[[#This Row],[Quantity]],"NA")</f>
        <v>NA</v>
      </c>
      <c r="AA20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0" s="336" t="str">
        <f>IFERROR(_TrackerTable35[[#This Row],[Market Value
(in USD)]]/_TrackerTable35[[#This Row],[Total Cost
(in USD)]]-1,"NA")</f>
        <v>NA</v>
      </c>
      <c r="AC20" s="329" t="str">
        <f>IFERROR(_TrackerTable35[[#This Row],[Total Dividend Received
(in Listed Currency)]]/_TrackerTable35[[#This Row],[Exchange Rate 
(1 USD to xxx Listed Currency)]],"NA")</f>
        <v>NA</v>
      </c>
      <c r="AD20" s="334" t="str">
        <f>IFERROR(_TrackerTable35[[#This Row],[Total Dividend Received
(in USD)]]/_TrackerTable35[[#This Row],[Total Cost
(in USD)]],"NA")</f>
        <v>NA</v>
      </c>
      <c r="AE20" s="336" t="str">
        <f>IFERROR((_TrackerTable35[[#This Row],[Total Dividend Received
(in USD)]]+_TrackerTable35[[#This Row],[Market Value
(in USD)]])/_TrackerTable35[[#This Row],[Total Cost
(in USD)]]-1,"NA")</f>
        <v>NA</v>
      </c>
      <c r="AF20" s="287"/>
    </row>
    <row r="21" spans="1:36" s="300" customFormat="1" ht="32" customHeight="1" x14ac:dyDescent="0.15">
      <c r="A21" s="287"/>
      <c r="B21" s="288">
        <v>12</v>
      </c>
      <c r="C21" s="356"/>
      <c r="D21" s="289"/>
      <c r="E21" s="290"/>
      <c r="F21" s="288"/>
      <c r="G21" s="290"/>
      <c r="H21" s="288"/>
      <c r="I21" s="291"/>
      <c r="J21" s="292"/>
      <c r="K21" s="293"/>
      <c r="L21" s="294"/>
      <c r="M21" s="295"/>
      <c r="N21" s="296"/>
      <c r="O21" s="297"/>
      <c r="P21" s="298"/>
      <c r="Q21" s="299"/>
      <c r="R21" s="331" t="str">
        <f>IFERROR(_TrackerTable35[[#This Row],[Avg Cost per Share
(in Listed Currency)]]/_TrackerTable35[[#This Row],[Exchange Rate 
(1 USD to xxx Listed Currency)]],"NA")</f>
        <v>NA</v>
      </c>
      <c r="S21" s="330" t="str">
        <f>IFERROR(_TrackerTable35[[#This Row],[Quantity]]*_TrackerTable35[[#This Row],[Avg Cost per Share
(in USD)]],"NA")</f>
        <v>NA</v>
      </c>
      <c r="T21" s="331" t="str">
        <f>IFERROR(_TrackerTable35[[#This Row],[Planned Allocation
(in Listed Currency)]]/_TrackerTable35[[#This Row],[Exchange Rate 
(1 USD to xxx Listed Currency)]],"NA")</f>
        <v>NA</v>
      </c>
      <c r="U21" s="332" t="str">
        <f>IFERROR(_TrackerTable35[[#This Row],[Planned Allocation
(in USD)]]/_TrackerTable35[[#Totals],[Planned Allocation
(in USD)]],"NA")</f>
        <v>NA</v>
      </c>
      <c r="V21" s="333" t="str">
        <f>IFERROR(_TrackerTable35[[#This Row],[Total Cost
(in USD)]]/_TrackerTable35[[#This Row],[Planned Allocation
(in USD)]],"NA")</f>
        <v>NA</v>
      </c>
      <c r="W21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1" s="334" t="str">
        <f>IFERROR(_TrackerTable35[[#This Row],[Current Price
(in USD)]]/_TrackerTable35[[#This Row],[Intrinsic Value
(in USD)]]-1,"NA")</f>
        <v>NA</v>
      </c>
      <c r="Y21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1" s="329" t="str">
        <f>IFERROR(_TrackerTable35[[#This Row],[Current Price
(in USD)]]*_TrackerTable35[[#This Row],[Quantity]],"NA")</f>
        <v>NA</v>
      </c>
      <c r="AA21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1" s="336" t="str">
        <f>IFERROR(_TrackerTable35[[#This Row],[Market Value
(in USD)]]/_TrackerTable35[[#This Row],[Total Cost
(in USD)]]-1,"NA")</f>
        <v>NA</v>
      </c>
      <c r="AC21" s="329" t="str">
        <f>IFERROR(_TrackerTable35[[#This Row],[Total Dividend Received
(in Listed Currency)]]/_TrackerTable35[[#This Row],[Exchange Rate 
(1 USD to xxx Listed Currency)]],"NA")</f>
        <v>NA</v>
      </c>
      <c r="AD21" s="334" t="str">
        <f>IFERROR(_TrackerTable35[[#This Row],[Total Dividend Received
(in USD)]]/_TrackerTable35[[#This Row],[Total Cost
(in USD)]],"NA")</f>
        <v>NA</v>
      </c>
      <c r="AE21" s="336" t="str">
        <f>IFERROR((_TrackerTable35[[#This Row],[Total Dividend Received
(in USD)]]+_TrackerTable35[[#This Row],[Market Value
(in USD)]])/_TrackerTable35[[#This Row],[Total Cost
(in USD)]]-1,"NA")</f>
        <v>NA</v>
      </c>
      <c r="AF21" s="287"/>
    </row>
    <row r="22" spans="1:36" s="300" customFormat="1" ht="32" customHeight="1" x14ac:dyDescent="0.15">
      <c r="A22" s="287"/>
      <c r="B22" s="288">
        <v>13</v>
      </c>
      <c r="C22" s="356"/>
      <c r="D22" s="289"/>
      <c r="E22" s="290"/>
      <c r="F22" s="288"/>
      <c r="G22" s="290"/>
      <c r="H22" s="288"/>
      <c r="I22" s="291"/>
      <c r="J22" s="292"/>
      <c r="K22" s="293"/>
      <c r="L22" s="294"/>
      <c r="M22" s="295"/>
      <c r="N22" s="296"/>
      <c r="O22" s="297"/>
      <c r="P22" s="298"/>
      <c r="Q22" s="299"/>
      <c r="R22" s="331" t="str">
        <f>IFERROR(_TrackerTable35[[#This Row],[Avg Cost per Share
(in Listed Currency)]]/_TrackerTable35[[#This Row],[Exchange Rate 
(1 USD to xxx Listed Currency)]],"NA")</f>
        <v>NA</v>
      </c>
      <c r="S22" s="330" t="str">
        <f>IFERROR(_TrackerTable35[[#This Row],[Quantity]]*_TrackerTable35[[#This Row],[Avg Cost per Share
(in USD)]],"NA")</f>
        <v>NA</v>
      </c>
      <c r="T22" s="331" t="str">
        <f>IFERROR(_TrackerTable35[[#This Row],[Planned Allocation
(in Listed Currency)]]/_TrackerTable35[[#This Row],[Exchange Rate 
(1 USD to xxx Listed Currency)]],"NA")</f>
        <v>NA</v>
      </c>
      <c r="U22" s="332" t="str">
        <f>IFERROR(_TrackerTable35[[#This Row],[Planned Allocation
(in USD)]]/_TrackerTable35[[#Totals],[Planned Allocation
(in USD)]],"NA")</f>
        <v>NA</v>
      </c>
      <c r="V22" s="333" t="str">
        <f>IFERROR(_TrackerTable35[[#This Row],[Total Cost
(in USD)]]/_TrackerTable35[[#This Row],[Planned Allocation
(in USD)]],"NA")</f>
        <v>NA</v>
      </c>
      <c r="W22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2" s="334" t="str">
        <f>IFERROR(_TrackerTable35[[#This Row],[Current Price
(in USD)]]/_TrackerTable35[[#This Row],[Intrinsic Value
(in USD)]]-1,"NA")</f>
        <v>NA</v>
      </c>
      <c r="Y22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2" s="329" t="str">
        <f>IFERROR(_TrackerTable35[[#This Row],[Current Price
(in USD)]]*_TrackerTable35[[#This Row],[Quantity]],"NA")</f>
        <v>NA</v>
      </c>
      <c r="AA22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2" s="336" t="str">
        <f>IFERROR(_TrackerTable35[[#This Row],[Market Value
(in USD)]]/_TrackerTable35[[#This Row],[Total Cost
(in USD)]]-1,"NA")</f>
        <v>NA</v>
      </c>
      <c r="AC22" s="329" t="str">
        <f>IFERROR(_TrackerTable35[[#This Row],[Total Dividend Received
(in Listed Currency)]]/_TrackerTable35[[#This Row],[Exchange Rate 
(1 USD to xxx Listed Currency)]],"NA")</f>
        <v>NA</v>
      </c>
      <c r="AD22" s="334" t="str">
        <f>IFERROR(_TrackerTable35[[#This Row],[Total Dividend Received
(in USD)]]/_TrackerTable35[[#This Row],[Total Cost
(in USD)]],"NA")</f>
        <v>NA</v>
      </c>
      <c r="AE22" s="336" t="str">
        <f>IFERROR((_TrackerTable35[[#This Row],[Total Dividend Received
(in USD)]]+_TrackerTable35[[#This Row],[Market Value
(in USD)]])/_TrackerTable35[[#This Row],[Total Cost
(in USD)]]-1,"NA")</f>
        <v>NA</v>
      </c>
      <c r="AF22" s="287"/>
    </row>
    <row r="23" spans="1:36" s="300" customFormat="1" ht="32" customHeight="1" x14ac:dyDescent="0.15">
      <c r="A23" s="287"/>
      <c r="B23" s="288">
        <v>14</v>
      </c>
      <c r="C23" s="356"/>
      <c r="D23" s="289"/>
      <c r="E23" s="290"/>
      <c r="F23" s="288"/>
      <c r="G23" s="290"/>
      <c r="H23" s="288"/>
      <c r="I23" s="291"/>
      <c r="J23" s="292"/>
      <c r="K23" s="293"/>
      <c r="L23" s="294"/>
      <c r="M23" s="295"/>
      <c r="N23" s="296"/>
      <c r="O23" s="297"/>
      <c r="P23" s="298"/>
      <c r="Q23" s="299"/>
      <c r="R23" s="331" t="str">
        <f>IFERROR(_TrackerTable35[[#This Row],[Avg Cost per Share
(in Listed Currency)]]/_TrackerTable35[[#This Row],[Exchange Rate 
(1 USD to xxx Listed Currency)]],"NA")</f>
        <v>NA</v>
      </c>
      <c r="S23" s="330" t="str">
        <f>IFERROR(_TrackerTable35[[#This Row],[Quantity]]*_TrackerTable35[[#This Row],[Avg Cost per Share
(in USD)]],"NA")</f>
        <v>NA</v>
      </c>
      <c r="T23" s="331" t="str">
        <f>IFERROR(_TrackerTable35[[#This Row],[Planned Allocation
(in Listed Currency)]]/_TrackerTable35[[#This Row],[Exchange Rate 
(1 USD to xxx Listed Currency)]],"NA")</f>
        <v>NA</v>
      </c>
      <c r="U23" s="332" t="str">
        <f>IFERROR(_TrackerTable35[[#This Row],[Planned Allocation
(in USD)]]/_TrackerTable35[[#Totals],[Planned Allocation
(in USD)]],"NA")</f>
        <v>NA</v>
      </c>
      <c r="V23" s="333" t="str">
        <f>IFERROR(_TrackerTable35[[#This Row],[Total Cost
(in USD)]]/_TrackerTable35[[#This Row],[Planned Allocation
(in USD)]],"NA")</f>
        <v>NA</v>
      </c>
      <c r="W23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3" s="334" t="str">
        <f>IFERROR(_TrackerTable35[[#This Row],[Current Price
(in USD)]]/_TrackerTable35[[#This Row],[Intrinsic Value
(in USD)]]-1,"NA")</f>
        <v>NA</v>
      </c>
      <c r="Y23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3" s="329" t="str">
        <f>IFERROR(_TrackerTable35[[#This Row],[Current Price
(in USD)]]*_TrackerTable35[[#This Row],[Quantity]],"NA")</f>
        <v>NA</v>
      </c>
      <c r="AA23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3" s="336" t="str">
        <f>IFERROR(_TrackerTable35[[#This Row],[Market Value
(in USD)]]/_TrackerTable35[[#This Row],[Total Cost
(in USD)]]-1,"NA")</f>
        <v>NA</v>
      </c>
      <c r="AC23" s="329" t="str">
        <f>IFERROR(_TrackerTable35[[#This Row],[Total Dividend Received
(in Listed Currency)]]/_TrackerTable35[[#This Row],[Exchange Rate 
(1 USD to xxx Listed Currency)]],"NA")</f>
        <v>NA</v>
      </c>
      <c r="AD23" s="334" t="str">
        <f>IFERROR(_TrackerTable35[[#This Row],[Total Dividend Received
(in USD)]]/_TrackerTable35[[#This Row],[Total Cost
(in USD)]],"NA")</f>
        <v>NA</v>
      </c>
      <c r="AE23" s="336" t="str">
        <f>IFERROR((_TrackerTable35[[#This Row],[Total Dividend Received
(in USD)]]+_TrackerTable35[[#This Row],[Market Value
(in USD)]])/_TrackerTable35[[#This Row],[Total Cost
(in USD)]]-1,"NA")</f>
        <v>NA</v>
      </c>
      <c r="AF23" s="287"/>
    </row>
    <row r="24" spans="1:36" s="300" customFormat="1" ht="32" customHeight="1" x14ac:dyDescent="0.15">
      <c r="A24" s="287"/>
      <c r="B24" s="288">
        <v>15</v>
      </c>
      <c r="C24" s="356"/>
      <c r="D24" s="289"/>
      <c r="E24" s="290"/>
      <c r="F24" s="288"/>
      <c r="G24" s="290"/>
      <c r="H24" s="288"/>
      <c r="I24" s="291"/>
      <c r="J24" s="292"/>
      <c r="K24" s="293"/>
      <c r="L24" s="294"/>
      <c r="M24" s="295"/>
      <c r="N24" s="296"/>
      <c r="O24" s="297"/>
      <c r="P24" s="298"/>
      <c r="Q24" s="299"/>
      <c r="R24" s="331" t="str">
        <f>IFERROR(_TrackerTable35[[#This Row],[Avg Cost per Share
(in Listed Currency)]]/_TrackerTable35[[#This Row],[Exchange Rate 
(1 USD to xxx Listed Currency)]],"NA")</f>
        <v>NA</v>
      </c>
      <c r="S24" s="330" t="str">
        <f>IFERROR(_TrackerTable35[[#This Row],[Quantity]]*_TrackerTable35[[#This Row],[Avg Cost per Share
(in USD)]],"NA")</f>
        <v>NA</v>
      </c>
      <c r="T24" s="331" t="str">
        <f>IFERROR(_TrackerTable35[[#This Row],[Planned Allocation
(in Listed Currency)]]/_TrackerTable35[[#This Row],[Exchange Rate 
(1 USD to xxx Listed Currency)]],"NA")</f>
        <v>NA</v>
      </c>
      <c r="U24" s="332" t="str">
        <f>IFERROR(_TrackerTable35[[#This Row],[Planned Allocation
(in USD)]]/_TrackerTable35[[#Totals],[Planned Allocation
(in USD)]],"NA")</f>
        <v>NA</v>
      </c>
      <c r="V24" s="333" t="str">
        <f>IFERROR(_TrackerTable35[[#This Row],[Total Cost
(in USD)]]/_TrackerTable35[[#This Row],[Planned Allocation
(in USD)]],"NA")</f>
        <v>NA</v>
      </c>
      <c r="W24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4" s="334" t="str">
        <f>IFERROR(_TrackerTable35[[#This Row],[Current Price
(in USD)]]/_TrackerTable35[[#This Row],[Intrinsic Value
(in USD)]]-1,"NA")</f>
        <v>NA</v>
      </c>
      <c r="Y24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4" s="329" t="str">
        <f>IFERROR(_TrackerTable35[[#This Row],[Current Price
(in USD)]]*_TrackerTable35[[#This Row],[Quantity]],"NA")</f>
        <v>NA</v>
      </c>
      <c r="AA24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4" s="336" t="str">
        <f>IFERROR(_TrackerTable35[[#This Row],[Market Value
(in USD)]]/_TrackerTable35[[#This Row],[Total Cost
(in USD)]]-1,"NA")</f>
        <v>NA</v>
      </c>
      <c r="AC24" s="329" t="str">
        <f>IFERROR(_TrackerTable35[[#This Row],[Total Dividend Received
(in Listed Currency)]]/_TrackerTable35[[#This Row],[Exchange Rate 
(1 USD to xxx Listed Currency)]],"NA")</f>
        <v>NA</v>
      </c>
      <c r="AD24" s="334" t="str">
        <f>IFERROR(_TrackerTable35[[#This Row],[Total Dividend Received
(in USD)]]/_TrackerTable35[[#This Row],[Total Cost
(in USD)]],"NA")</f>
        <v>NA</v>
      </c>
      <c r="AE24" s="336" t="str">
        <f>IFERROR((_TrackerTable35[[#This Row],[Total Dividend Received
(in USD)]]+_TrackerTable35[[#This Row],[Market Value
(in USD)]])/_TrackerTable35[[#This Row],[Total Cost
(in USD)]]-1,"NA")</f>
        <v>NA</v>
      </c>
      <c r="AF24" s="287"/>
    </row>
    <row r="25" spans="1:36" s="300" customFormat="1" ht="32" customHeight="1" x14ac:dyDescent="0.15">
      <c r="A25" s="287"/>
      <c r="B25" s="288">
        <v>16</v>
      </c>
      <c r="C25" s="356"/>
      <c r="D25" s="289"/>
      <c r="E25" s="290"/>
      <c r="F25" s="288"/>
      <c r="G25" s="290"/>
      <c r="H25" s="288"/>
      <c r="I25" s="291"/>
      <c r="J25" s="292"/>
      <c r="K25" s="293"/>
      <c r="L25" s="294"/>
      <c r="M25" s="295"/>
      <c r="N25" s="296"/>
      <c r="O25" s="297"/>
      <c r="P25" s="298"/>
      <c r="Q25" s="299"/>
      <c r="R25" s="331" t="str">
        <f>IFERROR(_TrackerTable35[[#This Row],[Avg Cost per Share
(in Listed Currency)]]/_TrackerTable35[[#This Row],[Exchange Rate 
(1 USD to xxx Listed Currency)]],"NA")</f>
        <v>NA</v>
      </c>
      <c r="S25" s="330" t="str">
        <f>IFERROR(_TrackerTable35[[#This Row],[Quantity]]*_TrackerTable35[[#This Row],[Avg Cost per Share
(in USD)]],"NA")</f>
        <v>NA</v>
      </c>
      <c r="T25" s="331" t="str">
        <f>IFERROR(_TrackerTable35[[#This Row],[Planned Allocation
(in Listed Currency)]]/_TrackerTable35[[#This Row],[Exchange Rate 
(1 USD to xxx Listed Currency)]],"NA")</f>
        <v>NA</v>
      </c>
      <c r="U25" s="332" t="str">
        <f>IFERROR(_TrackerTable35[[#This Row],[Planned Allocation
(in USD)]]/_TrackerTable35[[#Totals],[Planned Allocation
(in USD)]],"NA")</f>
        <v>NA</v>
      </c>
      <c r="V25" s="333" t="str">
        <f>IFERROR(_TrackerTable35[[#This Row],[Total Cost
(in USD)]]/_TrackerTable35[[#This Row],[Planned Allocation
(in USD)]],"NA")</f>
        <v>NA</v>
      </c>
      <c r="W25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5" s="334" t="str">
        <f>IFERROR(_TrackerTable35[[#This Row],[Current Price
(in USD)]]/_TrackerTable35[[#This Row],[Intrinsic Value
(in USD)]]-1,"NA")</f>
        <v>NA</v>
      </c>
      <c r="Y25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5" s="329" t="str">
        <f>IFERROR(_TrackerTable35[[#This Row],[Current Price
(in USD)]]*_TrackerTable35[[#This Row],[Quantity]],"NA")</f>
        <v>NA</v>
      </c>
      <c r="AA25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5" s="336" t="str">
        <f>IFERROR(_TrackerTable35[[#This Row],[Market Value
(in USD)]]/_TrackerTable35[[#This Row],[Total Cost
(in USD)]]-1,"NA")</f>
        <v>NA</v>
      </c>
      <c r="AC25" s="329" t="str">
        <f>IFERROR(_TrackerTable35[[#This Row],[Total Dividend Received
(in Listed Currency)]]/_TrackerTable35[[#This Row],[Exchange Rate 
(1 USD to xxx Listed Currency)]],"NA")</f>
        <v>NA</v>
      </c>
      <c r="AD25" s="334" t="str">
        <f>IFERROR(_TrackerTable35[[#This Row],[Total Dividend Received
(in USD)]]/_TrackerTable35[[#This Row],[Total Cost
(in USD)]],"NA")</f>
        <v>NA</v>
      </c>
      <c r="AE25" s="336" t="str">
        <f>IFERROR((_TrackerTable35[[#This Row],[Total Dividend Received
(in USD)]]+_TrackerTable35[[#This Row],[Market Value
(in USD)]])/_TrackerTable35[[#This Row],[Total Cost
(in USD)]]-1,"NA")</f>
        <v>NA</v>
      </c>
      <c r="AF25" s="287"/>
    </row>
    <row r="26" spans="1:36" s="300" customFormat="1" ht="32" customHeight="1" x14ac:dyDescent="0.15">
      <c r="A26" s="287"/>
      <c r="B26" s="288">
        <v>17</v>
      </c>
      <c r="C26" s="356"/>
      <c r="D26" s="289"/>
      <c r="E26" s="290"/>
      <c r="F26" s="288"/>
      <c r="G26" s="290"/>
      <c r="H26" s="288"/>
      <c r="I26" s="291"/>
      <c r="J26" s="292"/>
      <c r="K26" s="293"/>
      <c r="L26" s="294"/>
      <c r="M26" s="295"/>
      <c r="N26" s="296"/>
      <c r="O26" s="297"/>
      <c r="P26" s="298"/>
      <c r="Q26" s="299"/>
      <c r="R26" s="331" t="str">
        <f>IFERROR(_TrackerTable35[[#This Row],[Avg Cost per Share
(in Listed Currency)]]/_TrackerTable35[[#This Row],[Exchange Rate 
(1 USD to xxx Listed Currency)]],"NA")</f>
        <v>NA</v>
      </c>
      <c r="S26" s="330" t="str">
        <f>IFERROR(_TrackerTable35[[#This Row],[Quantity]]*_TrackerTable35[[#This Row],[Avg Cost per Share
(in USD)]],"NA")</f>
        <v>NA</v>
      </c>
      <c r="T26" s="331" t="str">
        <f>IFERROR(_TrackerTable35[[#This Row],[Planned Allocation
(in Listed Currency)]]/_TrackerTable35[[#This Row],[Exchange Rate 
(1 USD to xxx Listed Currency)]],"NA")</f>
        <v>NA</v>
      </c>
      <c r="U26" s="332" t="str">
        <f>IFERROR(_TrackerTable35[[#This Row],[Planned Allocation
(in USD)]]/_TrackerTable35[[#Totals],[Planned Allocation
(in USD)]],"NA")</f>
        <v>NA</v>
      </c>
      <c r="V26" s="333" t="str">
        <f>IFERROR(_TrackerTable35[[#This Row],[Total Cost
(in USD)]]/_TrackerTable35[[#This Row],[Planned Allocation
(in USD)]],"NA")</f>
        <v>NA</v>
      </c>
      <c r="W26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6" s="334" t="str">
        <f>IFERROR(_TrackerTable35[[#This Row],[Current Price
(in USD)]]/_TrackerTable35[[#This Row],[Intrinsic Value
(in USD)]]-1,"NA")</f>
        <v>NA</v>
      </c>
      <c r="Y26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6" s="329" t="str">
        <f>IFERROR(_TrackerTable35[[#This Row],[Current Price
(in USD)]]*_TrackerTable35[[#This Row],[Quantity]],"NA")</f>
        <v>NA</v>
      </c>
      <c r="AA26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6" s="336" t="str">
        <f>IFERROR(_TrackerTable35[[#This Row],[Market Value
(in USD)]]/_TrackerTable35[[#This Row],[Total Cost
(in USD)]]-1,"NA")</f>
        <v>NA</v>
      </c>
      <c r="AC26" s="329" t="str">
        <f>IFERROR(_TrackerTable35[[#This Row],[Total Dividend Received
(in Listed Currency)]]/_TrackerTable35[[#This Row],[Exchange Rate 
(1 USD to xxx Listed Currency)]],"NA")</f>
        <v>NA</v>
      </c>
      <c r="AD26" s="334" t="str">
        <f>IFERROR(_TrackerTable35[[#This Row],[Total Dividend Received
(in USD)]]/_TrackerTable35[[#This Row],[Total Cost
(in USD)]],"NA")</f>
        <v>NA</v>
      </c>
      <c r="AE26" s="336" t="str">
        <f>IFERROR((_TrackerTable35[[#This Row],[Total Dividend Received
(in USD)]]+_TrackerTable35[[#This Row],[Market Value
(in USD)]])/_TrackerTable35[[#This Row],[Total Cost
(in USD)]]-1,"NA")</f>
        <v>NA</v>
      </c>
      <c r="AF26" s="287"/>
    </row>
    <row r="27" spans="1:36" s="300" customFormat="1" ht="32" customHeight="1" x14ac:dyDescent="0.15">
      <c r="A27" s="287"/>
      <c r="B27" s="288">
        <v>18</v>
      </c>
      <c r="C27" s="356"/>
      <c r="D27" s="289"/>
      <c r="E27" s="290"/>
      <c r="F27" s="288"/>
      <c r="G27" s="290"/>
      <c r="H27" s="288"/>
      <c r="I27" s="291"/>
      <c r="J27" s="292"/>
      <c r="K27" s="293"/>
      <c r="L27" s="294"/>
      <c r="M27" s="295"/>
      <c r="N27" s="296"/>
      <c r="O27" s="297"/>
      <c r="P27" s="298"/>
      <c r="Q27" s="299"/>
      <c r="R27" s="331" t="str">
        <f>IFERROR(_TrackerTable35[[#This Row],[Avg Cost per Share
(in Listed Currency)]]/_TrackerTable35[[#This Row],[Exchange Rate 
(1 USD to xxx Listed Currency)]],"NA")</f>
        <v>NA</v>
      </c>
      <c r="S27" s="330" t="str">
        <f>IFERROR(_TrackerTable35[[#This Row],[Quantity]]*_TrackerTable35[[#This Row],[Avg Cost per Share
(in USD)]],"NA")</f>
        <v>NA</v>
      </c>
      <c r="T27" s="331" t="str">
        <f>IFERROR(_TrackerTable35[[#This Row],[Planned Allocation
(in Listed Currency)]]/_TrackerTable35[[#This Row],[Exchange Rate 
(1 USD to xxx Listed Currency)]],"NA")</f>
        <v>NA</v>
      </c>
      <c r="U27" s="332" t="str">
        <f>IFERROR(_TrackerTable35[[#This Row],[Planned Allocation
(in USD)]]/_TrackerTable35[[#Totals],[Planned Allocation
(in USD)]],"NA")</f>
        <v>NA</v>
      </c>
      <c r="V27" s="333" t="str">
        <f>IFERROR(_TrackerTable35[[#This Row],[Total Cost
(in USD)]]/_TrackerTable35[[#This Row],[Planned Allocation
(in USD)]],"NA")</f>
        <v>NA</v>
      </c>
      <c r="W27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7" s="334" t="str">
        <f>IFERROR(_TrackerTable35[[#This Row],[Current Price
(in USD)]]/_TrackerTable35[[#This Row],[Intrinsic Value
(in USD)]]-1,"NA")</f>
        <v>NA</v>
      </c>
      <c r="Y27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7" s="329" t="str">
        <f>IFERROR(_TrackerTable35[[#This Row],[Current Price
(in USD)]]*_TrackerTable35[[#This Row],[Quantity]],"NA")</f>
        <v>NA</v>
      </c>
      <c r="AA27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7" s="336" t="str">
        <f>IFERROR(_TrackerTable35[[#This Row],[Market Value
(in USD)]]/_TrackerTable35[[#This Row],[Total Cost
(in USD)]]-1,"NA")</f>
        <v>NA</v>
      </c>
      <c r="AC27" s="329" t="str">
        <f>IFERROR(_TrackerTable35[[#This Row],[Total Dividend Received
(in Listed Currency)]]/_TrackerTable35[[#This Row],[Exchange Rate 
(1 USD to xxx Listed Currency)]],"NA")</f>
        <v>NA</v>
      </c>
      <c r="AD27" s="334" t="str">
        <f>IFERROR(_TrackerTable35[[#This Row],[Total Dividend Received
(in USD)]]/_TrackerTable35[[#This Row],[Total Cost
(in USD)]],"NA")</f>
        <v>NA</v>
      </c>
      <c r="AE27" s="336" t="str">
        <f>IFERROR((_TrackerTable35[[#This Row],[Total Dividend Received
(in USD)]]+_TrackerTable35[[#This Row],[Market Value
(in USD)]])/_TrackerTable35[[#This Row],[Total Cost
(in USD)]]-1,"NA")</f>
        <v>NA</v>
      </c>
      <c r="AF27" s="287"/>
    </row>
    <row r="28" spans="1:36" s="300" customFormat="1" ht="32" customHeight="1" x14ac:dyDescent="0.15">
      <c r="A28" s="287"/>
      <c r="B28" s="288">
        <v>19</v>
      </c>
      <c r="C28" s="356"/>
      <c r="D28" s="289"/>
      <c r="E28" s="290"/>
      <c r="F28" s="288"/>
      <c r="G28" s="290"/>
      <c r="H28" s="288"/>
      <c r="I28" s="291"/>
      <c r="J28" s="292"/>
      <c r="K28" s="293"/>
      <c r="L28" s="294"/>
      <c r="M28" s="295"/>
      <c r="N28" s="296"/>
      <c r="O28" s="297"/>
      <c r="P28" s="298"/>
      <c r="Q28" s="299"/>
      <c r="R28" s="331" t="str">
        <f>IFERROR(_TrackerTable35[[#This Row],[Avg Cost per Share
(in Listed Currency)]]/_TrackerTable35[[#This Row],[Exchange Rate 
(1 USD to xxx Listed Currency)]],"NA")</f>
        <v>NA</v>
      </c>
      <c r="S28" s="330" t="str">
        <f>IFERROR(_TrackerTable35[[#This Row],[Quantity]]*_TrackerTable35[[#This Row],[Avg Cost per Share
(in USD)]],"NA")</f>
        <v>NA</v>
      </c>
      <c r="T28" s="331" t="str">
        <f>IFERROR(_TrackerTable35[[#This Row],[Planned Allocation
(in Listed Currency)]]/_TrackerTable35[[#This Row],[Exchange Rate 
(1 USD to xxx Listed Currency)]],"NA")</f>
        <v>NA</v>
      </c>
      <c r="U28" s="332" t="str">
        <f>IFERROR(_TrackerTable35[[#This Row],[Planned Allocation
(in USD)]]/_TrackerTable35[[#Totals],[Planned Allocation
(in USD)]],"NA")</f>
        <v>NA</v>
      </c>
      <c r="V28" s="333" t="str">
        <f>IFERROR(_TrackerTable35[[#This Row],[Total Cost
(in USD)]]/_TrackerTable35[[#This Row],[Planned Allocation
(in USD)]],"NA")</f>
        <v>NA</v>
      </c>
      <c r="W28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8" s="334" t="str">
        <f>IFERROR(_TrackerTable35[[#This Row],[Current Price
(in USD)]]/_TrackerTable35[[#This Row],[Intrinsic Value
(in USD)]]-1,"NA")</f>
        <v>NA</v>
      </c>
      <c r="Y28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8" s="329" t="str">
        <f>IFERROR(_TrackerTable35[[#This Row],[Current Price
(in USD)]]*_TrackerTable35[[#This Row],[Quantity]],"NA")</f>
        <v>NA</v>
      </c>
      <c r="AA28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8" s="336" t="str">
        <f>IFERROR(_TrackerTable35[[#This Row],[Market Value
(in USD)]]/_TrackerTable35[[#This Row],[Total Cost
(in USD)]]-1,"NA")</f>
        <v>NA</v>
      </c>
      <c r="AC28" s="329" t="str">
        <f>IFERROR(_TrackerTable35[[#This Row],[Total Dividend Received
(in Listed Currency)]]/_TrackerTable35[[#This Row],[Exchange Rate 
(1 USD to xxx Listed Currency)]],"NA")</f>
        <v>NA</v>
      </c>
      <c r="AD28" s="334" t="str">
        <f>IFERROR(_TrackerTable35[[#This Row],[Total Dividend Received
(in USD)]]/_TrackerTable35[[#This Row],[Total Cost
(in USD)]],"NA")</f>
        <v>NA</v>
      </c>
      <c r="AE28" s="336" t="str">
        <f>IFERROR((_TrackerTable35[[#This Row],[Total Dividend Received
(in USD)]]+_TrackerTable35[[#This Row],[Market Value
(in USD)]])/_TrackerTable35[[#This Row],[Total Cost
(in USD)]]-1,"NA")</f>
        <v>NA</v>
      </c>
      <c r="AF28" s="287"/>
    </row>
    <row r="29" spans="1:36" s="300" customFormat="1" ht="32" customHeight="1" x14ac:dyDescent="0.15">
      <c r="A29" s="287"/>
      <c r="B29" s="288">
        <v>20</v>
      </c>
      <c r="C29" s="356"/>
      <c r="D29" s="289"/>
      <c r="E29" s="290"/>
      <c r="F29" s="288"/>
      <c r="G29" s="290"/>
      <c r="H29" s="288"/>
      <c r="I29" s="291"/>
      <c r="J29" s="292"/>
      <c r="K29" s="293"/>
      <c r="L29" s="294"/>
      <c r="M29" s="295"/>
      <c r="N29" s="296"/>
      <c r="O29" s="297"/>
      <c r="P29" s="298"/>
      <c r="Q29" s="299"/>
      <c r="R29" s="331" t="str">
        <f>IFERROR(_TrackerTable35[[#This Row],[Avg Cost per Share
(in Listed Currency)]]/_TrackerTable35[[#This Row],[Exchange Rate 
(1 USD to xxx Listed Currency)]],"NA")</f>
        <v>NA</v>
      </c>
      <c r="S29" s="330" t="str">
        <f>IFERROR(_TrackerTable35[[#This Row],[Quantity]]*_TrackerTable35[[#This Row],[Avg Cost per Share
(in USD)]],"NA")</f>
        <v>NA</v>
      </c>
      <c r="T29" s="331" t="str">
        <f>IFERROR(_TrackerTable35[[#This Row],[Planned Allocation
(in Listed Currency)]]/_TrackerTable35[[#This Row],[Exchange Rate 
(1 USD to xxx Listed Currency)]],"NA")</f>
        <v>NA</v>
      </c>
      <c r="U29" s="332" t="str">
        <f>IFERROR(_TrackerTable35[[#This Row],[Planned Allocation
(in USD)]]/_TrackerTable35[[#Totals],[Planned Allocation
(in USD)]],"NA")</f>
        <v>NA</v>
      </c>
      <c r="V29" s="333" t="str">
        <f>IFERROR(_TrackerTable35[[#This Row],[Total Cost
(in USD)]]/_TrackerTable35[[#This Row],[Planned Allocation
(in USD)]],"NA")</f>
        <v>NA</v>
      </c>
      <c r="W29" s="329" t="str">
        <f>IF(AND(_TrackerTable35[[#This Row],[Exchange Rate 
(1 USD to xxx Listed Currency)]]&gt;0,_TrackerTable35[[#This Row],[Intrinsic Value
(in Listed Currency)]]&gt;0,_TrackerTable35[[#This Row],[Intrinsic Value
(in Listed Currency)]]&lt;&gt;"NA"),_TrackerTable35[[#This Row],[Intrinsic Value
(in Listed Currency)]]/_TrackerTable35[[#This Row],[Exchange Rate 
(1 USD to xxx Listed Currency)]],"NA")</f>
        <v>NA</v>
      </c>
      <c r="X29" s="334" t="str">
        <f>IFERROR(_TrackerTable35[[#This Row],[Current Price
(in USD)]]/_TrackerTable35[[#This Row],[Intrinsic Value
(in USD)]]-1,"NA")</f>
        <v>NA</v>
      </c>
      <c r="Y29" s="331" t="str">
        <f>IF(_TrackerTable35[[#This Row],[Exchange Rate 
(1 USD to xxx Listed Currency)]]&gt;0,_TrackerTable35[[#This Row],[Current  Price
(in Listed Currency)]]/_TrackerTable35[[#This Row],[Exchange Rate 
(1 USD to xxx Listed Currency)]],"NA")</f>
        <v>NA</v>
      </c>
      <c r="Z29" s="329" t="str">
        <f>IFERROR(_TrackerTable35[[#This Row],[Current Price
(in USD)]]*_TrackerTable35[[#This Row],[Quantity]],"NA")</f>
        <v>NA</v>
      </c>
      <c r="AA29" s="335" t="str">
        <f>IFERROR(IF(AND(_TrackerTable35[[#This Row],[Market Value
(in USD)]]&gt;0,_TrackerTable35[[#Totals],[Market Value
(in USD)]]&gt;0),_TrackerTable35[[#This Row],[Market Value
(in USD)]]/_TrackerTable35[[#Totals],[Market Value
(in USD)]],"NA"),"NA")</f>
        <v>NA</v>
      </c>
      <c r="AB29" s="336" t="str">
        <f>IFERROR(_TrackerTable35[[#This Row],[Market Value
(in USD)]]/_TrackerTable35[[#This Row],[Total Cost
(in USD)]]-1,"NA")</f>
        <v>NA</v>
      </c>
      <c r="AC29" s="329" t="str">
        <f>IFERROR(_TrackerTable35[[#This Row],[Total Dividend Received
(in Listed Currency)]]/_TrackerTable35[[#This Row],[Exchange Rate 
(1 USD to xxx Listed Currency)]],"NA")</f>
        <v>NA</v>
      </c>
      <c r="AD29" s="334" t="str">
        <f>IFERROR(_TrackerTable35[[#This Row],[Total Dividend Received
(in USD)]]/_TrackerTable35[[#This Row],[Total Cost
(in USD)]],"NA")</f>
        <v>NA</v>
      </c>
      <c r="AE29" s="336" t="str">
        <f>IFERROR((_TrackerTable35[[#This Row],[Total Dividend Received
(in USD)]]+_TrackerTable35[[#This Row],[Market Value
(in USD)]])/_TrackerTable35[[#This Row],[Total Cost
(in USD)]]-1,"NA")</f>
        <v>NA</v>
      </c>
      <c r="AF29" s="287"/>
    </row>
    <row r="30" spans="1:36" s="309" customFormat="1" ht="40" customHeight="1" x14ac:dyDescent="0.15">
      <c r="A30" s="301" t="s">
        <v>189</v>
      </c>
      <c r="B30" s="302"/>
      <c r="C30" s="357"/>
      <c r="D30" s="303"/>
      <c r="E30" s="304"/>
      <c r="F30" s="302"/>
      <c r="G30" s="302"/>
      <c r="H30" s="302"/>
      <c r="I30" s="302"/>
      <c r="J30" s="305"/>
      <c r="K30" s="306"/>
      <c r="L30" s="307"/>
      <c r="M30" s="306"/>
      <c r="N30" s="308"/>
      <c r="O30" s="306"/>
      <c r="P30" s="306"/>
      <c r="Q30" s="306"/>
      <c r="R30" s="104" t="s">
        <v>53</v>
      </c>
      <c r="S30" s="104">
        <f>SUBTOTAL(109,_TrackerTable35[Total Cost
(in USD)])</f>
        <v>41186.94650454048</v>
      </c>
      <c r="T30" s="104">
        <f>SUBTOTAL(109,_TrackerTable35[Planned Allocation
(in USD)])</f>
        <v>45938.762896400891</v>
      </c>
      <c r="U30" s="104"/>
      <c r="V30" s="105"/>
      <c r="W30" s="104"/>
      <c r="X30" s="105"/>
      <c r="Y30" s="104"/>
      <c r="Z30" s="104">
        <f>SUBTOTAL(109,_TrackerTable35[Market Value
(in USD)])</f>
        <v>53121.176569200776</v>
      </c>
      <c r="AA30" s="105"/>
      <c r="AB30" s="105"/>
      <c r="AC30" s="104">
        <f>SUBTOTAL(109,_TrackerTable35[Total Dividend Received
(in USD)])</f>
        <v>358.09629629629626</v>
      </c>
      <c r="AD30" s="105"/>
      <c r="AE30" s="106"/>
      <c r="AF30" s="301"/>
    </row>
    <row r="31" spans="1:36" s="313" customFormat="1" x14ac:dyDescent="0.2">
      <c r="A31" s="310"/>
      <c r="B31" s="337"/>
      <c r="C31" s="337"/>
      <c r="D31" s="337"/>
      <c r="E31" s="337"/>
      <c r="F31" s="337"/>
      <c r="G31" s="337"/>
      <c r="H31" s="338"/>
      <c r="I31" s="338"/>
      <c r="J31" s="339"/>
      <c r="K31" s="340"/>
      <c r="L31" s="341"/>
      <c r="M31" s="340"/>
      <c r="N31" s="342"/>
      <c r="O31" s="340"/>
      <c r="P31" s="343"/>
      <c r="Q31" s="340"/>
      <c r="R31" s="340"/>
      <c r="S31" s="340"/>
      <c r="T31" s="340"/>
      <c r="U31" s="340"/>
      <c r="V31" s="344"/>
      <c r="W31" s="342"/>
      <c r="X31" s="340"/>
      <c r="Y31" s="345"/>
      <c r="Z31" s="340"/>
      <c r="AA31" s="342"/>
      <c r="AB31" s="342"/>
      <c r="AC31" s="344"/>
      <c r="AD31" s="340"/>
      <c r="AE31" s="344"/>
      <c r="AF31" s="311"/>
      <c r="AG31" s="312"/>
      <c r="AI31" s="314"/>
      <c r="AJ31" s="314"/>
    </row>
    <row r="32" spans="1:36" x14ac:dyDescent="0.2">
      <c r="A32" s="315"/>
      <c r="B32" s="337"/>
      <c r="C32" s="337"/>
      <c r="D32" s="337"/>
      <c r="E32" s="337"/>
      <c r="F32" s="337"/>
      <c r="G32" s="337"/>
      <c r="H32" s="338"/>
      <c r="I32" s="338"/>
      <c r="J32" s="346"/>
      <c r="K32" s="347"/>
      <c r="L32" s="348"/>
      <c r="M32" s="347"/>
      <c r="N32" s="338"/>
      <c r="O32" s="347"/>
      <c r="P32" s="338"/>
      <c r="Q32" s="347"/>
      <c r="R32" s="347"/>
      <c r="S32" s="347"/>
      <c r="T32" s="347"/>
      <c r="U32" s="347"/>
      <c r="V32" s="349"/>
      <c r="W32" s="338"/>
      <c r="X32" s="347"/>
      <c r="Y32" s="350"/>
      <c r="Z32" s="347"/>
      <c r="AA32" s="338"/>
      <c r="AB32" s="338"/>
      <c r="AC32" s="349"/>
      <c r="AD32" s="347"/>
      <c r="AE32" s="349"/>
      <c r="AF32" s="316"/>
    </row>
    <row r="33" spans="1:32" x14ac:dyDescent="0.2">
      <c r="A33" s="315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47"/>
      <c r="U33" s="347"/>
      <c r="V33" s="349"/>
      <c r="W33" s="338"/>
      <c r="X33" s="347"/>
      <c r="Y33" s="350"/>
      <c r="Z33" s="347"/>
      <c r="AA33" s="338"/>
      <c r="AB33" s="338"/>
      <c r="AC33" s="349"/>
      <c r="AD33" s="347"/>
      <c r="AE33" s="349"/>
      <c r="AF33" s="316"/>
    </row>
    <row r="34" spans="1:32" x14ac:dyDescent="0.2">
      <c r="A34" s="315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47"/>
      <c r="U34" s="347"/>
      <c r="V34" s="349"/>
      <c r="W34" s="338"/>
      <c r="X34" s="347"/>
      <c r="Y34" s="350"/>
      <c r="Z34" s="347"/>
      <c r="AA34" s="338"/>
      <c r="AB34" s="338"/>
      <c r="AC34" s="349"/>
      <c r="AD34" s="347"/>
      <c r="AE34" s="349"/>
      <c r="AF34" s="316"/>
    </row>
    <row r="35" spans="1:32" x14ac:dyDescent="0.2">
      <c r="A35" s="315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47"/>
      <c r="U35" s="347"/>
      <c r="V35" s="349"/>
      <c r="W35" s="338"/>
      <c r="X35" s="347"/>
      <c r="Y35" s="350"/>
      <c r="Z35" s="347"/>
      <c r="AA35" s="338"/>
      <c r="AB35" s="338"/>
      <c r="AC35" s="349"/>
      <c r="AD35" s="347"/>
      <c r="AE35" s="349"/>
      <c r="AF35" s="316"/>
    </row>
    <row r="36" spans="1:32" x14ac:dyDescent="0.2">
      <c r="A36" s="315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47"/>
      <c r="U36" s="347"/>
      <c r="V36" s="349"/>
      <c r="W36" s="338"/>
      <c r="X36" s="347"/>
      <c r="Y36" s="350"/>
      <c r="Z36" s="347"/>
      <c r="AA36" s="338"/>
      <c r="AB36" s="338"/>
      <c r="AC36" s="349"/>
      <c r="AD36" s="347"/>
      <c r="AE36" s="349"/>
      <c r="AF36" s="316"/>
    </row>
    <row r="37" spans="1:32" x14ac:dyDescent="0.2">
      <c r="A37" s="315"/>
      <c r="B37" s="337"/>
      <c r="C37" s="337" t="str">
        <f ca="1">"© "&amp;YEAR(TODAY())&amp;" Piranha Ltd. All rights reserved."</f>
        <v>© 2026 Piranha Ltd. All rights reserved.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47"/>
      <c r="U37" s="347"/>
      <c r="V37" s="349"/>
      <c r="W37" s="338"/>
      <c r="X37" s="347"/>
      <c r="Y37" s="350"/>
      <c r="Z37" s="347"/>
      <c r="AA37" s="338"/>
      <c r="AB37" s="338"/>
      <c r="AC37" s="349"/>
      <c r="AD37" s="347"/>
      <c r="AE37" s="349"/>
      <c r="AF37" s="316"/>
    </row>
    <row r="38" spans="1:32" x14ac:dyDescent="0.2">
      <c r="A38" s="315"/>
      <c r="B38" s="338"/>
      <c r="C38" s="338"/>
      <c r="D38" s="351"/>
      <c r="E38" s="349"/>
      <c r="F38" s="338"/>
      <c r="G38" s="338"/>
      <c r="H38" s="338"/>
      <c r="I38" s="338"/>
      <c r="J38" s="346"/>
      <c r="K38" s="347"/>
      <c r="L38" s="348"/>
      <c r="M38" s="347"/>
      <c r="N38" s="338"/>
      <c r="O38" s="347"/>
      <c r="P38" s="338"/>
      <c r="Q38" s="347"/>
      <c r="R38" s="347"/>
      <c r="S38" s="347"/>
      <c r="T38" s="347"/>
      <c r="U38" s="347"/>
      <c r="V38" s="349"/>
      <c r="W38" s="338"/>
      <c r="X38" s="347"/>
      <c r="Y38" s="350"/>
      <c r="Z38" s="347"/>
      <c r="AA38" s="338"/>
      <c r="AB38" s="338"/>
      <c r="AC38" s="349"/>
      <c r="AD38" s="347"/>
      <c r="AE38" s="349"/>
      <c r="AF38" s="316"/>
    </row>
    <row r="39" spans="1:32" x14ac:dyDescent="0.2">
      <c r="A39" s="315"/>
      <c r="B39" s="338"/>
      <c r="C39" s="351"/>
      <c r="D39" s="351"/>
      <c r="E39" s="349"/>
      <c r="F39" s="338"/>
      <c r="G39" s="338"/>
      <c r="H39" s="338"/>
      <c r="I39" s="338"/>
      <c r="J39" s="346"/>
      <c r="K39" s="347"/>
      <c r="L39" s="348"/>
      <c r="M39" s="347"/>
      <c r="N39" s="338"/>
      <c r="O39" s="347"/>
      <c r="P39" s="338"/>
      <c r="Q39" s="347"/>
      <c r="R39" s="347"/>
      <c r="S39" s="347"/>
      <c r="T39" s="347"/>
      <c r="U39" s="347"/>
      <c r="V39" s="349"/>
      <c r="W39" s="338"/>
      <c r="X39" s="347"/>
      <c r="Y39" s="350"/>
      <c r="Z39" s="347"/>
      <c r="AA39" s="338"/>
      <c r="AB39" s="338"/>
      <c r="AC39" s="349"/>
      <c r="AD39" s="347"/>
      <c r="AE39" s="349"/>
      <c r="AF39" s="316"/>
    </row>
    <row r="40" spans="1:32" x14ac:dyDescent="0.2">
      <c r="A40" s="315"/>
      <c r="B40" s="315"/>
      <c r="C40" s="315"/>
      <c r="D40" s="319"/>
      <c r="E40" s="315"/>
      <c r="F40" s="315"/>
      <c r="G40" s="315"/>
      <c r="H40" s="315"/>
      <c r="I40" s="315"/>
      <c r="J40" s="320"/>
      <c r="K40" s="321"/>
      <c r="L40" s="322"/>
      <c r="M40" s="321"/>
      <c r="N40" s="315"/>
      <c r="O40" s="321"/>
      <c r="P40" s="315"/>
      <c r="Q40" s="321"/>
      <c r="R40" s="321"/>
      <c r="S40" s="321"/>
      <c r="T40" s="321"/>
      <c r="U40" s="321"/>
      <c r="V40" s="316"/>
      <c r="W40" s="315"/>
      <c r="X40" s="321"/>
      <c r="Y40" s="323"/>
      <c r="Z40" s="321"/>
      <c r="AA40" s="315"/>
      <c r="AB40" s="315"/>
      <c r="AC40" s="316"/>
      <c r="AD40" s="321"/>
      <c r="AE40" s="316"/>
      <c r="AF40" s="316"/>
    </row>
    <row r="41" spans="1:32" x14ac:dyDescent="0.2">
      <c r="A41" s="315"/>
      <c r="B41" s="315"/>
      <c r="C41" s="315"/>
      <c r="D41" s="319"/>
      <c r="E41" s="315"/>
      <c r="F41" s="315"/>
      <c r="G41" s="315"/>
      <c r="H41" s="315"/>
      <c r="I41" s="315"/>
      <c r="J41" s="320"/>
      <c r="K41" s="321"/>
      <c r="L41" s="322"/>
      <c r="M41" s="321"/>
      <c r="N41" s="315"/>
      <c r="O41" s="321"/>
      <c r="P41" s="315"/>
      <c r="Q41" s="321"/>
      <c r="R41" s="321"/>
      <c r="S41" s="321"/>
      <c r="T41" s="321"/>
      <c r="U41" s="321"/>
      <c r="V41" s="316"/>
      <c r="W41" s="315"/>
      <c r="X41" s="321"/>
      <c r="Y41" s="323"/>
      <c r="Z41" s="321"/>
      <c r="AA41" s="315"/>
      <c r="AB41" s="315"/>
      <c r="AC41" s="316"/>
      <c r="AD41" s="321"/>
      <c r="AE41" s="316"/>
      <c r="AF41" s="316"/>
    </row>
    <row r="42" spans="1:32" x14ac:dyDescent="0.2">
      <c r="A42" s="315"/>
      <c r="B42" s="315"/>
      <c r="C42" s="315"/>
      <c r="D42" s="319"/>
      <c r="E42" s="315"/>
      <c r="F42" s="315"/>
      <c r="G42" s="315"/>
      <c r="H42" s="315"/>
      <c r="I42" s="315"/>
      <c r="J42" s="320"/>
      <c r="K42" s="321"/>
      <c r="L42" s="322"/>
      <c r="M42" s="321"/>
      <c r="N42" s="315"/>
      <c r="O42" s="321"/>
      <c r="P42" s="315"/>
      <c r="Q42" s="321"/>
      <c r="R42" s="321"/>
      <c r="S42" s="321"/>
      <c r="T42" s="321"/>
      <c r="U42" s="321"/>
      <c r="V42" s="316"/>
      <c r="W42" s="315"/>
      <c r="X42" s="321"/>
      <c r="Y42" s="323"/>
      <c r="Z42" s="321"/>
      <c r="AA42" s="315"/>
      <c r="AB42" s="315"/>
      <c r="AC42" s="316"/>
      <c r="AD42" s="321"/>
      <c r="AE42" s="316"/>
      <c r="AF42" s="316"/>
    </row>
    <row r="43" spans="1:32" x14ac:dyDescent="0.2">
      <c r="A43" s="315"/>
      <c r="B43" s="315"/>
      <c r="C43" s="315"/>
      <c r="D43" s="319"/>
      <c r="E43" s="315"/>
      <c r="F43" s="315"/>
      <c r="G43" s="315"/>
      <c r="H43" s="315"/>
      <c r="I43" s="315"/>
      <c r="J43" s="320"/>
      <c r="K43" s="321"/>
      <c r="L43" s="322"/>
      <c r="M43" s="321"/>
      <c r="N43" s="315"/>
      <c r="O43" s="321"/>
      <c r="P43" s="315"/>
      <c r="Q43" s="321"/>
      <c r="R43" s="321"/>
      <c r="S43" s="321"/>
      <c r="T43" s="321"/>
      <c r="U43" s="321"/>
      <c r="V43" s="316"/>
      <c r="W43" s="315"/>
      <c r="X43" s="321"/>
      <c r="Y43" s="323"/>
      <c r="Z43" s="321"/>
      <c r="AA43" s="315"/>
      <c r="AB43" s="315"/>
      <c r="AC43" s="316"/>
      <c r="AD43" s="321"/>
      <c r="AE43" s="316"/>
      <c r="AF43" s="316"/>
    </row>
    <row r="44" spans="1:32" x14ac:dyDescent="0.2">
      <c r="A44" s="315"/>
      <c r="B44" s="315"/>
      <c r="C44" s="315"/>
      <c r="D44" s="319"/>
      <c r="E44" s="315"/>
      <c r="F44" s="315"/>
      <c r="G44" s="315"/>
      <c r="H44" s="315"/>
      <c r="I44" s="315"/>
      <c r="J44" s="320"/>
      <c r="K44" s="321"/>
      <c r="L44" s="322"/>
      <c r="M44" s="321"/>
      <c r="N44" s="315"/>
      <c r="O44" s="321"/>
      <c r="P44" s="315"/>
      <c r="Q44" s="321"/>
      <c r="R44" s="321"/>
      <c r="S44" s="321"/>
      <c r="T44" s="321"/>
      <c r="U44" s="321"/>
      <c r="V44" s="316"/>
      <c r="W44" s="315"/>
      <c r="X44" s="321"/>
      <c r="Y44" s="323"/>
      <c r="Z44" s="321"/>
      <c r="AA44" s="315"/>
      <c r="AB44" s="315"/>
      <c r="AC44" s="316"/>
      <c r="AD44" s="321"/>
      <c r="AE44" s="316"/>
      <c r="AF44" s="316"/>
    </row>
    <row r="45" spans="1:32" x14ac:dyDescent="0.2">
      <c r="A45" s="315"/>
      <c r="B45" s="315"/>
      <c r="C45" s="315"/>
      <c r="D45" s="319"/>
      <c r="E45" s="315"/>
      <c r="F45" s="315"/>
      <c r="G45" s="315"/>
      <c r="H45" s="315"/>
      <c r="I45" s="315"/>
      <c r="J45" s="320"/>
      <c r="K45" s="321"/>
      <c r="L45" s="322"/>
      <c r="M45" s="321"/>
      <c r="N45" s="315"/>
      <c r="O45" s="321"/>
      <c r="P45" s="315"/>
      <c r="Q45" s="321"/>
      <c r="R45" s="321"/>
      <c r="S45" s="321"/>
      <c r="T45" s="321"/>
      <c r="U45" s="321"/>
      <c r="V45" s="316"/>
      <c r="W45" s="315"/>
      <c r="X45" s="321"/>
      <c r="Y45" s="323"/>
      <c r="Z45" s="321"/>
      <c r="AA45" s="315"/>
      <c r="AB45" s="315"/>
      <c r="AC45" s="316"/>
      <c r="AD45" s="321"/>
      <c r="AE45" s="316"/>
      <c r="AF45" s="316"/>
    </row>
  </sheetData>
  <sheetProtection formatCells="0" formatColumns="0" formatRows="0" insertColumns="0" insertRows="0" insertHyperlinks="0" deleteColumns="0" deleteRows="0" sort="0" autoFilter="0" pivotTables="0"/>
  <phoneticPr fontId="5" type="noConversion"/>
  <conditionalFormatting sqref="A13:A29 C13:AE29">
    <cfRule type="cellIs" dxfId="10" priority="1" stopIfTrue="1" operator="equal">
      <formula>"NA"</formula>
    </cfRule>
  </conditionalFormatting>
  <conditionalFormatting sqref="A10:AE12 C10:C29 B13:B29 A30:AE30">
    <cfRule type="cellIs" dxfId="9" priority="6" stopIfTrue="1" operator="equal">
      <formula>"NA"</formula>
    </cfRule>
  </conditionalFormatting>
  <conditionalFormatting sqref="V10:V23">
    <cfRule type="cellIs" dxfId="8" priority="9" operator="lessThan">
      <formula>0.75</formula>
    </cfRule>
    <cfRule type="cellIs" dxfId="7" priority="10" operator="greaterThan">
      <formula>1</formula>
    </cfRule>
  </conditionalFormatting>
  <conditionalFormatting sqref="V24:V29">
    <cfRule type="cellIs" dxfId="6" priority="4" operator="lessThan">
      <formula>0.75</formula>
    </cfRule>
    <cfRule type="cellIs" dxfId="5" priority="5" operator="greaterThan">
      <formula>1</formula>
    </cfRule>
  </conditionalFormatting>
  <conditionalFormatting sqref="X10:X23">
    <cfRule type="cellIs" dxfId="4" priority="7" operator="lessThan">
      <formula>0</formula>
    </cfRule>
    <cfRule type="cellIs" dxfId="3" priority="8" operator="greaterThan">
      <formula>0</formula>
    </cfRule>
  </conditionalFormatting>
  <conditionalFormatting sqref="X24:X29">
    <cfRule type="cellIs" dxfId="2" priority="2" operator="lessThan">
      <formula>0</formula>
    </cfRule>
    <cfRule type="cellIs" dxfId="1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ignoredErrors>
    <ignoredError sqref="C13 C16" numberStoredAsText="1"/>
  </ignoredErrors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422BFB-DE49-4E2D-8327-1D3FC51BC3AD}">
          <x14:formula1>
            <xm:f>'VMI Portfolio Parameter'!$B$6:$B$18</xm:f>
          </x14:formula1>
          <xm:sqref>E10:E29</xm:sqref>
        </x14:dataValidation>
        <x14:dataValidation type="list" allowBlank="1" showInputMessage="1" showErrorMessage="1" xr:uid="{E67E4598-0A79-4650-8DDB-21932CE9CB99}">
          <x14:formula1>
            <xm:f>'VMI Portfolio Parameter'!$B$33:$B$42</xm:f>
          </x14:formula1>
          <xm:sqref>F10:F29</xm:sqref>
        </x14:dataValidation>
        <x14:dataValidation type="list" allowBlank="1" showInputMessage="1" showErrorMessage="1" xr:uid="{892FD336-E5E5-4D28-90F9-7410ADEEA282}">
          <x14:formula1>
            <xm:f>'VMI Portfolio Parameter'!$B$44:$B$47</xm:f>
          </x14:formula1>
          <xm:sqref>G10:G29</xm:sqref>
        </x14:dataValidation>
        <x14:dataValidation type="list" allowBlank="1" showInputMessage="1" showErrorMessage="1" xr:uid="{A787CC7C-9AFE-4547-8EB9-B9138D5A6692}">
          <x14:formula1>
            <xm:f>'VMI Portfolio Parameter'!$B$20:$B$31</xm:f>
          </x14:formula1>
          <xm:sqref>H10:H29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9955-DDE8-4ACF-820F-285E38F860FD}">
  <sheetPr>
    <tabColor rgb="FF485D73"/>
  </sheetPr>
  <dimension ref="A1:AL44"/>
  <sheetViews>
    <sheetView showGridLines="0" zoomScaleNormal="100" workbookViewId="0">
      <pane ySplit="7" topLeftCell="A8" activePane="bottomLeft" state="frozen"/>
      <selection activeCell="F22" sqref="F22:H22"/>
      <selection pane="bottomLeft" activeCell="D9" sqref="D9"/>
    </sheetView>
  </sheetViews>
  <sheetFormatPr baseColWidth="10" defaultColWidth="9.1640625" defaultRowHeight="16" outlineLevelCol="1" x14ac:dyDescent="0.2"/>
  <cols>
    <col min="1" max="1" width="3.1640625" style="318" customWidth="1"/>
    <col min="2" max="2" width="3.83203125" style="318" customWidth="1"/>
    <col min="3" max="3" width="15.1640625" style="318" customWidth="1"/>
    <col min="4" max="4" width="17.83203125" style="324" bestFit="1" customWidth="1"/>
    <col min="5" max="7" width="14.6640625" style="318" customWidth="1" outlineLevel="1"/>
    <col min="8" max="8" width="10" style="318" customWidth="1" outlineLevel="1"/>
    <col min="9" max="9" width="8" style="318" customWidth="1" outlineLevel="1"/>
    <col min="10" max="10" width="10.6640625" style="325" customWidth="1" outlineLevel="1"/>
    <col min="11" max="11" width="10.6640625" style="327" customWidth="1" outlineLevel="1"/>
    <col min="12" max="12" width="12" style="326" customWidth="1" outlineLevel="1"/>
    <col min="13" max="13" width="12" style="318" customWidth="1" outlineLevel="1"/>
    <col min="14" max="14" width="12" style="326" customWidth="1" outlineLevel="1"/>
    <col min="15" max="15" width="12.5" style="326" customWidth="1"/>
    <col min="16" max="16" width="14.1640625" style="326" bestFit="1" customWidth="1"/>
    <col min="17" max="17" width="11" style="328" bestFit="1" customWidth="1"/>
    <col min="18" max="18" width="16.83203125" style="326" bestFit="1" customWidth="1"/>
    <col min="19" max="19" width="14.1640625" style="317" bestFit="1" customWidth="1"/>
    <col min="20" max="20" width="15.5" bestFit="1" customWidth="1"/>
    <col min="21" max="21" width="11.33203125" style="318" bestFit="1" customWidth="1"/>
    <col min="22" max="22" width="14.1640625" style="317" customWidth="1"/>
    <col min="23" max="23" width="13.1640625" style="317" bestFit="1" customWidth="1"/>
    <col min="24" max="24" width="15.5" style="317" bestFit="1" customWidth="1"/>
    <col min="25" max="25" width="12" style="317" customWidth="1"/>
    <col min="26" max="27" width="9.83203125" style="318" customWidth="1"/>
    <col min="28" max="28" width="2.33203125" style="318" customWidth="1"/>
    <col min="29" max="16384" width="9.1640625" style="318"/>
  </cols>
  <sheetData>
    <row r="1" spans="1:22" ht="7.5" customHeight="1" x14ac:dyDescent="0.2"/>
    <row r="2" spans="1:22" s="242" customFormat="1" ht="25" x14ac:dyDescent="0.25">
      <c r="A2" s="236"/>
      <c r="B2" s="236"/>
      <c r="C2" s="360" t="s">
        <v>207</v>
      </c>
      <c r="D2" s="237"/>
      <c r="E2" s="236"/>
      <c r="F2" s="236"/>
      <c r="G2" s="236"/>
      <c r="H2" s="236"/>
      <c r="I2" s="236"/>
      <c r="J2" s="238"/>
      <c r="K2" s="240"/>
      <c r="L2" s="239"/>
      <c r="M2" s="236"/>
      <c r="N2" s="239"/>
      <c r="O2" s="239"/>
      <c r="P2" s="239"/>
      <c r="Q2" s="239"/>
      <c r="R2" s="236"/>
      <c r="S2" s="239"/>
      <c r="T2" s="239"/>
      <c r="U2" s="241"/>
      <c r="V2" s="236"/>
    </row>
    <row r="3" spans="1:22" s="242" customFormat="1" ht="4" customHeight="1" x14ac:dyDescent="0.2">
      <c r="A3" s="236"/>
      <c r="B3" s="236"/>
      <c r="C3" s="236"/>
      <c r="D3" s="243"/>
      <c r="E3" s="236"/>
      <c r="F3" s="236"/>
      <c r="G3" s="236"/>
      <c r="H3" s="236"/>
      <c r="I3" s="236"/>
      <c r="J3" s="238"/>
      <c r="K3" s="240"/>
      <c r="L3" s="239"/>
      <c r="M3" s="245"/>
      <c r="N3" s="244"/>
      <c r="O3" s="239"/>
      <c r="P3" s="239"/>
      <c r="Q3" s="244"/>
      <c r="R3" s="245"/>
      <c r="S3" s="244"/>
      <c r="T3" s="244"/>
      <c r="U3" s="246"/>
      <c r="V3" s="236"/>
    </row>
    <row r="4" spans="1:22" s="242" customFormat="1" x14ac:dyDescent="0.2">
      <c r="A4" s="236"/>
      <c r="B4" s="236"/>
      <c r="C4" s="363" t="s">
        <v>212</v>
      </c>
      <c r="D4" s="370">
        <f>_TrackerTable3543[[#Totals],[Total Profit &amp; Loss]]</f>
        <v>6912.9733333333334</v>
      </c>
      <c r="E4" s="236"/>
      <c r="F4" s="248"/>
      <c r="G4" s="236"/>
      <c r="H4" s="248"/>
      <c r="I4" s="248"/>
      <c r="J4" s="238"/>
      <c r="K4" s="240"/>
      <c r="L4" s="239"/>
      <c r="M4" s="236"/>
      <c r="N4" s="239"/>
      <c r="O4" s="239"/>
      <c r="P4" s="239"/>
      <c r="Q4" s="239"/>
      <c r="R4" s="236"/>
      <c r="S4" s="239"/>
      <c r="T4" s="239"/>
      <c r="U4" s="241"/>
      <c r="V4" s="236"/>
    </row>
    <row r="5" spans="1:22" s="242" customFormat="1" ht="17" thickBot="1" x14ac:dyDescent="0.25">
      <c r="A5" s="236"/>
      <c r="B5" s="236"/>
      <c r="C5" s="245"/>
      <c r="D5" s="250"/>
      <c r="E5" s="248"/>
      <c r="F5" s="248"/>
      <c r="G5" s="236"/>
      <c r="H5" s="248"/>
      <c r="I5" s="248"/>
      <c r="J5" s="238"/>
      <c r="K5" s="240"/>
      <c r="L5" s="239"/>
      <c r="M5" s="236"/>
      <c r="N5" s="239"/>
      <c r="O5" s="251" t="s">
        <v>108</v>
      </c>
      <c r="P5" s="252"/>
      <c r="Q5" s="254" t="s">
        <v>213</v>
      </c>
      <c r="R5" s="255"/>
      <c r="S5" s="251"/>
      <c r="T5" s="251"/>
      <c r="U5" s="253"/>
      <c r="V5" s="236"/>
    </row>
    <row r="6" spans="1:22" s="268" customFormat="1" ht="15" thickBot="1" x14ac:dyDescent="0.2">
      <c r="A6" s="258"/>
      <c r="B6" s="259"/>
      <c r="C6" s="259" t="s">
        <v>105</v>
      </c>
      <c r="D6" s="260"/>
      <c r="E6" s="259"/>
      <c r="F6" s="259"/>
      <c r="G6" s="259"/>
      <c r="H6" s="259"/>
      <c r="I6" s="259" t="s">
        <v>3</v>
      </c>
      <c r="J6" s="261"/>
      <c r="K6" s="262" t="s">
        <v>103</v>
      </c>
      <c r="L6" s="254"/>
      <c r="M6" s="259" t="s">
        <v>101</v>
      </c>
      <c r="N6" s="254" t="s">
        <v>100</v>
      </c>
      <c r="O6" s="263" t="s">
        <v>188</v>
      </c>
      <c r="P6" s="264"/>
      <c r="Q6" s="264"/>
      <c r="R6" s="266"/>
      <c r="S6" s="264"/>
      <c r="T6" s="264"/>
      <c r="U6" s="267"/>
      <c r="V6" s="258"/>
    </row>
    <row r="7" spans="1:22" s="286" customFormat="1" ht="80.25" customHeight="1" x14ac:dyDescent="0.15">
      <c r="A7" s="269"/>
      <c r="B7" s="270" t="s">
        <v>99</v>
      </c>
      <c r="C7" s="355" t="s">
        <v>98</v>
      </c>
      <c r="D7" s="270" t="s">
        <v>97</v>
      </c>
      <c r="E7" s="270" t="s">
        <v>96</v>
      </c>
      <c r="F7" s="270" t="s">
        <v>68</v>
      </c>
      <c r="G7" s="270" t="s">
        <v>49</v>
      </c>
      <c r="H7" s="270" t="s">
        <v>61</v>
      </c>
      <c r="I7" s="271" t="s">
        <v>95</v>
      </c>
      <c r="J7" s="272" t="s">
        <v>94</v>
      </c>
      <c r="K7" s="274" t="s">
        <v>46</v>
      </c>
      <c r="L7" s="275" t="s">
        <v>211</v>
      </c>
      <c r="M7" s="276" t="s">
        <v>90</v>
      </c>
      <c r="N7" s="278" t="s">
        <v>208</v>
      </c>
      <c r="O7" s="361" t="s">
        <v>210</v>
      </c>
      <c r="P7" s="277" t="s">
        <v>88</v>
      </c>
      <c r="Q7" s="282" t="s">
        <v>209</v>
      </c>
      <c r="R7" s="369" t="s">
        <v>237</v>
      </c>
      <c r="S7" s="275" t="s">
        <v>79</v>
      </c>
      <c r="T7" s="365" t="s">
        <v>212</v>
      </c>
      <c r="U7" s="364" t="s">
        <v>234</v>
      </c>
      <c r="V7" s="269"/>
    </row>
    <row r="8" spans="1:22" s="300" customFormat="1" ht="32" customHeight="1" x14ac:dyDescent="0.15">
      <c r="A8" s="287"/>
      <c r="B8" s="288">
        <v>1</v>
      </c>
      <c r="C8" s="356" t="s">
        <v>224</v>
      </c>
      <c r="D8" s="289" t="s">
        <v>225</v>
      </c>
      <c r="E8" s="290" t="s">
        <v>119</v>
      </c>
      <c r="F8" s="288" t="s">
        <v>65</v>
      </c>
      <c r="G8" s="290" t="s">
        <v>70</v>
      </c>
      <c r="H8" s="288" t="s">
        <v>57</v>
      </c>
      <c r="I8" s="291" t="s">
        <v>76</v>
      </c>
      <c r="J8" s="292">
        <v>1</v>
      </c>
      <c r="K8" s="294">
        <v>4</v>
      </c>
      <c r="L8" s="295">
        <v>1361.06</v>
      </c>
      <c r="M8" s="298">
        <v>0</v>
      </c>
      <c r="N8" s="299">
        <v>3000.02</v>
      </c>
      <c r="O8" s="362">
        <f>IFERROR(_TrackerTable3543[[#This Row],[Avg Cost per Share
(in Listed Currency)]]/_TrackerTable3543[[#This Row],[Exchange Rate 
(1 USD to xxx Listed Currency)]],"NA")</f>
        <v>1361.06</v>
      </c>
      <c r="P8" s="330">
        <f>IFERROR(_TrackerTable3543[[#This Row],[Quantity]]*_TrackerTable3543[[#This Row],[Avg Cost per Share
(in USD)]],"NA")</f>
        <v>5444.24</v>
      </c>
      <c r="Q8" s="331">
        <f>IF(_TrackerTable3543[[#This Row],[Exchange Rate 
(1 USD to xxx Listed Currency)]]&gt;0,_TrackerTable3543[[#This Row],[Closed Price
(in Listed Currency)]]/_TrackerTable3543[[#This Row],[Exchange Rate 
(1 USD to xxx Listed Currency)]],"NA")</f>
        <v>3000.02</v>
      </c>
      <c r="R8" s="367">
        <f>IFERROR(_TrackerTable3543[[#This Row],[Closed Price
(in USD)]]*_TrackerTable3543[[#This Row],[Quantity]],"NA")</f>
        <v>12000.08</v>
      </c>
      <c r="S8" s="329">
        <f>IFERROR(_TrackerTable3543[[#This Row],[Total Dividend Received
(in Listed Currency)]]/_TrackerTable3543[[#This Row],[Exchange Rate 
(1 USD to xxx Listed Currency)]],"NA")</f>
        <v>0</v>
      </c>
      <c r="T8" s="367">
        <f>IFERROR(_TrackerTable3543[[#This Row],[Closed Value
(in USD)]]+_TrackerTable3543[[#This Row],[Total Dividend Received
(in USD)]]-_TrackerTable3543[[#This Row],[Total Cost
(in USD)]],"NA")</f>
        <v>6555.84</v>
      </c>
      <c r="U8" s="366">
        <f>IFERROR(_TrackerTable3543[[#This Row],[Total Profit &amp; Loss]]/_TrackerTable3543[[#This Row],[Total Cost
(in USD)]],"NA")</f>
        <v>1.2041790957048184</v>
      </c>
      <c r="V8" s="287"/>
    </row>
    <row r="9" spans="1:22" s="300" customFormat="1" ht="32" customHeight="1" x14ac:dyDescent="0.15">
      <c r="A9" s="287"/>
      <c r="B9" s="288">
        <v>2</v>
      </c>
      <c r="C9" s="356" t="s">
        <v>235</v>
      </c>
      <c r="D9" s="289" t="s">
        <v>236</v>
      </c>
      <c r="E9" s="290" t="s">
        <v>75</v>
      </c>
      <c r="F9" s="288" t="s">
        <v>67</v>
      </c>
      <c r="G9" s="290" t="s">
        <v>50</v>
      </c>
      <c r="H9" s="288" t="s">
        <v>56</v>
      </c>
      <c r="I9" s="291" t="s">
        <v>74</v>
      </c>
      <c r="J9" s="292">
        <v>1.35</v>
      </c>
      <c r="K9" s="294">
        <v>1000</v>
      </c>
      <c r="L9" s="295">
        <v>3.63</v>
      </c>
      <c r="M9" s="298">
        <v>212.13</v>
      </c>
      <c r="N9" s="299">
        <v>3.9</v>
      </c>
      <c r="O9" s="362">
        <f>IFERROR(_TrackerTable3543[[#This Row],[Avg Cost per Share
(in Listed Currency)]]/_TrackerTable3543[[#This Row],[Exchange Rate 
(1 USD to xxx Listed Currency)]],"NA")</f>
        <v>2.6888888888888887</v>
      </c>
      <c r="P9" s="330">
        <f>IFERROR(_TrackerTable3543[[#This Row],[Quantity]]*_TrackerTable3543[[#This Row],[Avg Cost per Share
(in USD)]],"NA")</f>
        <v>2688.8888888888887</v>
      </c>
      <c r="Q9" s="331">
        <f>IF(_TrackerTable3543[[#This Row],[Exchange Rate 
(1 USD to xxx Listed Currency)]]&gt;0,_TrackerTable3543[[#This Row],[Closed Price
(in Listed Currency)]]/_TrackerTable3543[[#This Row],[Exchange Rate 
(1 USD to xxx Listed Currency)]],"NA")</f>
        <v>2.8888888888888888</v>
      </c>
      <c r="R9" s="367">
        <f>IFERROR(_TrackerTable3543[[#This Row],[Closed Price
(in USD)]]*_TrackerTable3543[[#This Row],[Quantity]],"NA")</f>
        <v>2888.8888888888887</v>
      </c>
      <c r="S9" s="329">
        <f>IFERROR(_TrackerTable3543[[#This Row],[Total Dividend Received
(in Listed Currency)]]/_TrackerTable3543[[#This Row],[Exchange Rate 
(1 USD to xxx Listed Currency)]],"NA")</f>
        <v>157.13333333333333</v>
      </c>
      <c r="T9" s="367">
        <f>IFERROR(_TrackerTable3543[[#This Row],[Closed Value
(in USD)]]+_TrackerTable3543[[#This Row],[Total Dividend Received
(in USD)]]-_TrackerTable3543[[#This Row],[Total Cost
(in USD)]],"NA")</f>
        <v>357.13333333333321</v>
      </c>
      <c r="U9" s="366">
        <f>IFERROR(_TrackerTable3543[[#This Row],[Total Profit &amp; Loss]]/_TrackerTable3543[[#This Row],[Total Cost
(in USD)]],"NA")</f>
        <v>0.13281818181818178</v>
      </c>
      <c r="V9" s="287"/>
    </row>
    <row r="10" spans="1:22" s="300" customFormat="1" ht="32" customHeight="1" x14ac:dyDescent="0.15">
      <c r="A10" s="287"/>
      <c r="B10" s="288">
        <v>3</v>
      </c>
      <c r="C10" s="356"/>
      <c r="D10" s="289"/>
      <c r="E10" s="290"/>
      <c r="F10" s="288"/>
      <c r="G10" s="290"/>
      <c r="H10" s="288"/>
      <c r="I10" s="291"/>
      <c r="J10" s="292"/>
      <c r="K10" s="294"/>
      <c r="L10" s="295"/>
      <c r="M10" s="298"/>
      <c r="N10" s="299"/>
      <c r="O10" s="362" t="str">
        <f>IFERROR(_TrackerTable3543[[#This Row],[Avg Cost per Share
(in Listed Currency)]]/_TrackerTable3543[[#This Row],[Exchange Rate 
(1 USD to xxx Listed Currency)]],"NA")</f>
        <v>NA</v>
      </c>
      <c r="P10" s="330" t="str">
        <f>IFERROR(_TrackerTable3543[[#This Row],[Quantity]]*_TrackerTable3543[[#This Row],[Avg Cost per Share
(in USD)]],"NA")</f>
        <v>NA</v>
      </c>
      <c r="Q10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0" s="367" t="str">
        <f>IFERROR(_TrackerTable3543[[#This Row],[Closed Price
(in USD)]]*_TrackerTable3543[[#This Row],[Quantity]],"NA")</f>
        <v>NA</v>
      </c>
      <c r="S10" s="329" t="str">
        <f>IFERROR(_TrackerTable3543[[#This Row],[Total Dividend Received
(in Listed Currency)]]/_TrackerTable3543[[#This Row],[Exchange Rate 
(1 USD to xxx Listed Currency)]],"NA")</f>
        <v>NA</v>
      </c>
      <c r="T10" s="367" t="str">
        <f>IFERROR(_TrackerTable3543[[#This Row],[Closed Value
(in USD)]]+_TrackerTable3543[[#This Row],[Total Dividend Received
(in USD)]]-_TrackerTable3543[[#This Row],[Total Cost
(in USD)]],"NA")</f>
        <v>NA</v>
      </c>
      <c r="U10" s="366" t="str">
        <f>IFERROR(_TrackerTable3543[[#This Row],[Total Profit &amp; Loss]]/_TrackerTable3543[[#This Row],[Total Cost
(in USD)]],"NA")</f>
        <v>NA</v>
      </c>
      <c r="V10" s="287"/>
    </row>
    <row r="11" spans="1:22" s="300" customFormat="1" ht="32" customHeight="1" x14ac:dyDescent="0.15">
      <c r="A11" s="287"/>
      <c r="B11" s="288">
        <v>4</v>
      </c>
      <c r="C11" s="356"/>
      <c r="D11" s="289"/>
      <c r="E11" s="290"/>
      <c r="F11" s="288"/>
      <c r="G11" s="290"/>
      <c r="H11" s="288"/>
      <c r="I11" s="291"/>
      <c r="J11" s="292"/>
      <c r="K11" s="294"/>
      <c r="L11" s="295"/>
      <c r="M11" s="298"/>
      <c r="N11" s="299"/>
      <c r="O11" s="362" t="str">
        <f>IFERROR(_TrackerTable3543[[#This Row],[Avg Cost per Share
(in Listed Currency)]]/_TrackerTable3543[[#This Row],[Exchange Rate 
(1 USD to xxx Listed Currency)]],"NA")</f>
        <v>NA</v>
      </c>
      <c r="P11" s="330" t="str">
        <f>IFERROR(_TrackerTable3543[[#This Row],[Quantity]]*_TrackerTable3543[[#This Row],[Avg Cost per Share
(in USD)]],"NA")</f>
        <v>NA</v>
      </c>
      <c r="Q11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1" s="367" t="str">
        <f>IFERROR(_TrackerTable3543[[#This Row],[Closed Price
(in USD)]]*_TrackerTable3543[[#This Row],[Quantity]],"NA")</f>
        <v>NA</v>
      </c>
      <c r="S11" s="329" t="str">
        <f>IFERROR(_TrackerTable3543[[#This Row],[Total Dividend Received
(in Listed Currency)]]/_TrackerTable3543[[#This Row],[Exchange Rate 
(1 USD to xxx Listed Currency)]],"NA")</f>
        <v>NA</v>
      </c>
      <c r="T11" s="367" t="str">
        <f>IFERROR(_TrackerTable3543[[#This Row],[Closed Value
(in USD)]]+_TrackerTable3543[[#This Row],[Total Dividend Received
(in USD)]]-_TrackerTable3543[[#This Row],[Total Cost
(in USD)]],"NA")</f>
        <v>NA</v>
      </c>
      <c r="U11" s="366" t="str">
        <f>IFERROR(_TrackerTable3543[[#This Row],[Total Profit &amp; Loss]]/_TrackerTable3543[[#This Row],[Total Cost
(in USD)]],"NA")</f>
        <v>NA</v>
      </c>
      <c r="V11" s="287"/>
    </row>
    <row r="12" spans="1:22" s="300" customFormat="1" ht="32" customHeight="1" x14ac:dyDescent="0.15">
      <c r="A12" s="287"/>
      <c r="B12" s="288">
        <v>5</v>
      </c>
      <c r="C12" s="356"/>
      <c r="D12" s="289"/>
      <c r="E12" s="290"/>
      <c r="F12" s="288"/>
      <c r="G12" s="290"/>
      <c r="H12" s="288"/>
      <c r="I12" s="291"/>
      <c r="J12" s="292"/>
      <c r="K12" s="294"/>
      <c r="L12" s="295"/>
      <c r="M12" s="298"/>
      <c r="N12" s="299"/>
      <c r="O12" s="362" t="str">
        <f>IFERROR(_TrackerTable3543[[#This Row],[Avg Cost per Share
(in Listed Currency)]]/_TrackerTable3543[[#This Row],[Exchange Rate 
(1 USD to xxx Listed Currency)]],"NA")</f>
        <v>NA</v>
      </c>
      <c r="P12" s="330" t="str">
        <f>IFERROR(_TrackerTable3543[[#This Row],[Quantity]]*_TrackerTable3543[[#This Row],[Avg Cost per Share
(in USD)]],"NA")</f>
        <v>NA</v>
      </c>
      <c r="Q12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2" s="367" t="str">
        <f>IFERROR(_TrackerTable3543[[#This Row],[Closed Price
(in USD)]]*_TrackerTable3543[[#This Row],[Quantity]],"NA")</f>
        <v>NA</v>
      </c>
      <c r="S12" s="329" t="str">
        <f>IFERROR(_TrackerTable3543[[#This Row],[Total Dividend Received
(in Listed Currency)]]/_TrackerTable3543[[#This Row],[Exchange Rate 
(1 USD to xxx Listed Currency)]],"NA")</f>
        <v>NA</v>
      </c>
      <c r="T12" s="367" t="str">
        <f>IFERROR(_TrackerTable3543[[#This Row],[Closed Value
(in USD)]]+_TrackerTable3543[[#This Row],[Total Dividend Received
(in USD)]]-_TrackerTable3543[[#This Row],[Total Cost
(in USD)]],"NA")</f>
        <v>NA</v>
      </c>
      <c r="U12" s="366" t="str">
        <f>IFERROR(_TrackerTable3543[[#This Row],[Total Profit &amp; Loss]]/_TrackerTable3543[[#This Row],[Total Cost
(in USD)]],"NA")</f>
        <v>NA</v>
      </c>
      <c r="V12" s="287"/>
    </row>
    <row r="13" spans="1:22" s="300" customFormat="1" ht="32" customHeight="1" x14ac:dyDescent="0.15">
      <c r="A13" s="287"/>
      <c r="B13" s="288">
        <v>6</v>
      </c>
      <c r="C13" s="356"/>
      <c r="D13" s="289"/>
      <c r="E13" s="290"/>
      <c r="F13" s="288"/>
      <c r="G13" s="290"/>
      <c r="H13" s="288"/>
      <c r="I13" s="291"/>
      <c r="J13" s="292"/>
      <c r="K13" s="294"/>
      <c r="L13" s="295"/>
      <c r="M13" s="298"/>
      <c r="N13" s="299"/>
      <c r="O13" s="362" t="str">
        <f>IFERROR(_TrackerTable3543[[#This Row],[Avg Cost per Share
(in Listed Currency)]]/_TrackerTable3543[[#This Row],[Exchange Rate 
(1 USD to xxx Listed Currency)]],"NA")</f>
        <v>NA</v>
      </c>
      <c r="P13" s="330" t="str">
        <f>IFERROR(_TrackerTable3543[[#This Row],[Quantity]]*_TrackerTable3543[[#This Row],[Avg Cost per Share
(in USD)]],"NA")</f>
        <v>NA</v>
      </c>
      <c r="Q13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3" s="367" t="str">
        <f>IFERROR(_TrackerTable3543[[#This Row],[Closed Price
(in USD)]]*_TrackerTable3543[[#This Row],[Quantity]],"NA")</f>
        <v>NA</v>
      </c>
      <c r="S13" s="329" t="str">
        <f>IFERROR(_TrackerTable3543[[#This Row],[Total Dividend Received
(in Listed Currency)]]/_TrackerTable3543[[#This Row],[Exchange Rate 
(1 USD to xxx Listed Currency)]],"NA")</f>
        <v>NA</v>
      </c>
      <c r="T13" s="367" t="str">
        <f>IFERROR(_TrackerTable3543[[#This Row],[Closed Value
(in USD)]]+_TrackerTable3543[[#This Row],[Total Dividend Received
(in USD)]]-_TrackerTable3543[[#This Row],[Total Cost
(in USD)]],"NA")</f>
        <v>NA</v>
      </c>
      <c r="U13" s="366" t="str">
        <f>IFERROR(_TrackerTable3543[[#This Row],[Total Profit &amp; Loss]]/_TrackerTable3543[[#This Row],[Total Cost
(in USD)]],"NA")</f>
        <v>NA</v>
      </c>
      <c r="V13" s="287"/>
    </row>
    <row r="14" spans="1:22" s="300" customFormat="1" ht="32" customHeight="1" x14ac:dyDescent="0.15">
      <c r="A14" s="287"/>
      <c r="B14" s="288">
        <v>7</v>
      </c>
      <c r="C14" s="356"/>
      <c r="D14" s="289"/>
      <c r="E14" s="290"/>
      <c r="F14" s="288"/>
      <c r="G14" s="290"/>
      <c r="H14" s="288"/>
      <c r="I14" s="291"/>
      <c r="J14" s="292"/>
      <c r="K14" s="294"/>
      <c r="L14" s="295"/>
      <c r="M14" s="298"/>
      <c r="N14" s="299"/>
      <c r="O14" s="362" t="str">
        <f>IFERROR(_TrackerTable3543[[#This Row],[Avg Cost per Share
(in Listed Currency)]]/_TrackerTable3543[[#This Row],[Exchange Rate 
(1 USD to xxx Listed Currency)]],"NA")</f>
        <v>NA</v>
      </c>
      <c r="P14" s="330" t="str">
        <f>IFERROR(_TrackerTable3543[[#This Row],[Quantity]]*_TrackerTable3543[[#This Row],[Avg Cost per Share
(in USD)]],"NA")</f>
        <v>NA</v>
      </c>
      <c r="Q14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4" s="367" t="str">
        <f>IFERROR(_TrackerTable3543[[#This Row],[Closed Price
(in USD)]]*_TrackerTable3543[[#This Row],[Quantity]],"NA")</f>
        <v>NA</v>
      </c>
      <c r="S14" s="329" t="str">
        <f>IFERROR(_TrackerTable3543[[#This Row],[Total Dividend Received
(in Listed Currency)]]/_TrackerTable3543[[#This Row],[Exchange Rate 
(1 USD to xxx Listed Currency)]],"NA")</f>
        <v>NA</v>
      </c>
      <c r="T14" s="367" t="str">
        <f>IFERROR(_TrackerTable3543[[#This Row],[Closed Value
(in USD)]]+_TrackerTable3543[[#This Row],[Total Dividend Received
(in USD)]]-_TrackerTable3543[[#This Row],[Total Cost
(in USD)]],"NA")</f>
        <v>NA</v>
      </c>
      <c r="U14" s="366" t="str">
        <f>IFERROR(_TrackerTable3543[[#This Row],[Total Profit &amp; Loss]]/_TrackerTable3543[[#This Row],[Total Cost
(in USD)]],"NA")</f>
        <v>NA</v>
      </c>
      <c r="V14" s="287"/>
    </row>
    <row r="15" spans="1:22" s="300" customFormat="1" ht="32" customHeight="1" x14ac:dyDescent="0.15">
      <c r="A15" s="287"/>
      <c r="B15" s="288">
        <v>8</v>
      </c>
      <c r="C15" s="356"/>
      <c r="D15" s="289"/>
      <c r="E15" s="290"/>
      <c r="F15" s="288"/>
      <c r="G15" s="290"/>
      <c r="H15" s="288"/>
      <c r="I15" s="291"/>
      <c r="J15" s="292"/>
      <c r="K15" s="294"/>
      <c r="L15" s="295"/>
      <c r="M15" s="298"/>
      <c r="N15" s="299"/>
      <c r="O15" s="362" t="str">
        <f>IFERROR(_TrackerTable3543[[#This Row],[Avg Cost per Share
(in Listed Currency)]]/_TrackerTable3543[[#This Row],[Exchange Rate 
(1 USD to xxx Listed Currency)]],"NA")</f>
        <v>NA</v>
      </c>
      <c r="P15" s="330" t="str">
        <f>IFERROR(_TrackerTable3543[[#This Row],[Quantity]]*_TrackerTable3543[[#This Row],[Avg Cost per Share
(in USD)]],"NA")</f>
        <v>NA</v>
      </c>
      <c r="Q15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5" s="367" t="str">
        <f>IFERROR(_TrackerTable3543[[#This Row],[Closed Price
(in USD)]]*_TrackerTable3543[[#This Row],[Quantity]],"NA")</f>
        <v>NA</v>
      </c>
      <c r="S15" s="329" t="str">
        <f>IFERROR(_TrackerTable3543[[#This Row],[Total Dividend Received
(in Listed Currency)]]/_TrackerTable3543[[#This Row],[Exchange Rate 
(1 USD to xxx Listed Currency)]],"NA")</f>
        <v>NA</v>
      </c>
      <c r="T15" s="367" t="str">
        <f>IFERROR(_TrackerTable3543[[#This Row],[Closed Value
(in USD)]]+_TrackerTable3543[[#This Row],[Total Dividend Received
(in USD)]]-_TrackerTable3543[[#This Row],[Total Cost
(in USD)]],"NA")</f>
        <v>NA</v>
      </c>
      <c r="U15" s="366" t="str">
        <f>IFERROR(_TrackerTable3543[[#This Row],[Total Profit &amp; Loss]]/_TrackerTable3543[[#This Row],[Total Cost
(in USD)]],"NA")</f>
        <v>NA</v>
      </c>
      <c r="V15" s="287"/>
    </row>
    <row r="16" spans="1:22" s="300" customFormat="1" ht="32" customHeight="1" x14ac:dyDescent="0.15">
      <c r="A16" s="287"/>
      <c r="B16" s="288">
        <v>9</v>
      </c>
      <c r="C16" s="356"/>
      <c r="D16" s="289"/>
      <c r="E16" s="290"/>
      <c r="F16" s="288"/>
      <c r="G16" s="290"/>
      <c r="H16" s="288"/>
      <c r="I16" s="291"/>
      <c r="J16" s="292"/>
      <c r="K16" s="294"/>
      <c r="L16" s="295"/>
      <c r="M16" s="298"/>
      <c r="N16" s="299"/>
      <c r="O16" s="362" t="str">
        <f>IFERROR(_TrackerTable3543[[#This Row],[Avg Cost per Share
(in Listed Currency)]]/_TrackerTable3543[[#This Row],[Exchange Rate 
(1 USD to xxx Listed Currency)]],"NA")</f>
        <v>NA</v>
      </c>
      <c r="P16" s="330" t="str">
        <f>IFERROR(_TrackerTable3543[[#This Row],[Quantity]]*_TrackerTable3543[[#This Row],[Avg Cost per Share
(in USD)]],"NA")</f>
        <v>NA</v>
      </c>
      <c r="Q16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6" s="367" t="str">
        <f>IFERROR(_TrackerTable3543[[#This Row],[Closed Price
(in USD)]]*_TrackerTable3543[[#This Row],[Quantity]],"NA")</f>
        <v>NA</v>
      </c>
      <c r="S16" s="329" t="str">
        <f>IFERROR(_TrackerTable3543[[#This Row],[Total Dividend Received
(in Listed Currency)]]/_TrackerTable3543[[#This Row],[Exchange Rate 
(1 USD to xxx Listed Currency)]],"NA")</f>
        <v>NA</v>
      </c>
      <c r="T16" s="367" t="str">
        <f>IFERROR(_TrackerTable3543[[#This Row],[Closed Value
(in USD)]]+_TrackerTable3543[[#This Row],[Total Dividend Received
(in USD)]]-_TrackerTable3543[[#This Row],[Total Cost
(in USD)]],"NA")</f>
        <v>NA</v>
      </c>
      <c r="U16" s="366" t="str">
        <f>IFERROR(_TrackerTable3543[[#This Row],[Total Profit &amp; Loss]]/_TrackerTable3543[[#This Row],[Total Cost
(in USD)]],"NA")</f>
        <v>NA</v>
      </c>
      <c r="V16" s="287"/>
    </row>
    <row r="17" spans="1:38" s="300" customFormat="1" ht="32" customHeight="1" x14ac:dyDescent="0.15">
      <c r="A17" s="287"/>
      <c r="B17" s="288">
        <v>10</v>
      </c>
      <c r="C17" s="356"/>
      <c r="D17" s="289"/>
      <c r="E17" s="290"/>
      <c r="F17" s="288"/>
      <c r="G17" s="290"/>
      <c r="H17" s="288"/>
      <c r="I17" s="291"/>
      <c r="J17" s="292"/>
      <c r="K17" s="294"/>
      <c r="L17" s="295"/>
      <c r="M17" s="298"/>
      <c r="N17" s="299"/>
      <c r="O17" s="362" t="str">
        <f>IFERROR(_TrackerTable3543[[#This Row],[Avg Cost per Share
(in Listed Currency)]]/_TrackerTable3543[[#This Row],[Exchange Rate 
(1 USD to xxx Listed Currency)]],"NA")</f>
        <v>NA</v>
      </c>
      <c r="P17" s="330" t="str">
        <f>IFERROR(_TrackerTable3543[[#This Row],[Quantity]]*_TrackerTable3543[[#This Row],[Avg Cost per Share
(in USD)]],"NA")</f>
        <v>NA</v>
      </c>
      <c r="Q17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7" s="367" t="str">
        <f>IFERROR(_TrackerTable3543[[#This Row],[Closed Price
(in USD)]]*_TrackerTable3543[[#This Row],[Quantity]],"NA")</f>
        <v>NA</v>
      </c>
      <c r="S17" s="329" t="str">
        <f>IFERROR(_TrackerTable3543[[#This Row],[Total Dividend Received
(in Listed Currency)]]/_TrackerTable3543[[#This Row],[Exchange Rate 
(1 USD to xxx Listed Currency)]],"NA")</f>
        <v>NA</v>
      </c>
      <c r="T17" s="367" t="str">
        <f>IFERROR(_TrackerTable3543[[#This Row],[Closed Value
(in USD)]]+_TrackerTable3543[[#This Row],[Total Dividend Received
(in USD)]]-_TrackerTable3543[[#This Row],[Total Cost
(in USD)]],"NA")</f>
        <v>NA</v>
      </c>
      <c r="U17" s="366" t="str">
        <f>IFERROR(_TrackerTable3543[[#This Row],[Total Profit &amp; Loss]]/_TrackerTable3543[[#This Row],[Total Cost
(in USD)]],"NA")</f>
        <v>NA</v>
      </c>
      <c r="V17" s="287"/>
    </row>
    <row r="18" spans="1:38" s="300" customFormat="1" ht="32" customHeight="1" x14ac:dyDescent="0.15">
      <c r="A18" s="287"/>
      <c r="B18" s="288">
        <v>11</v>
      </c>
      <c r="C18" s="356"/>
      <c r="D18" s="289"/>
      <c r="E18" s="290"/>
      <c r="F18" s="288"/>
      <c r="G18" s="290"/>
      <c r="H18" s="288"/>
      <c r="I18" s="291"/>
      <c r="J18" s="292"/>
      <c r="K18" s="294"/>
      <c r="L18" s="295"/>
      <c r="M18" s="298"/>
      <c r="N18" s="299"/>
      <c r="O18" s="362" t="str">
        <f>IFERROR(_TrackerTable3543[[#This Row],[Avg Cost per Share
(in Listed Currency)]]/_TrackerTable3543[[#This Row],[Exchange Rate 
(1 USD to xxx Listed Currency)]],"NA")</f>
        <v>NA</v>
      </c>
      <c r="P18" s="330" t="str">
        <f>IFERROR(_TrackerTable3543[[#This Row],[Quantity]]*_TrackerTable3543[[#This Row],[Avg Cost per Share
(in USD)]],"NA")</f>
        <v>NA</v>
      </c>
      <c r="Q18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8" s="367" t="str">
        <f>IFERROR(_TrackerTable3543[[#This Row],[Closed Price
(in USD)]]*_TrackerTable3543[[#This Row],[Quantity]],"NA")</f>
        <v>NA</v>
      </c>
      <c r="S18" s="329" t="str">
        <f>IFERROR(_TrackerTable3543[[#This Row],[Total Dividend Received
(in Listed Currency)]]/_TrackerTable3543[[#This Row],[Exchange Rate 
(1 USD to xxx Listed Currency)]],"NA")</f>
        <v>NA</v>
      </c>
      <c r="T18" s="367" t="str">
        <f>IFERROR(_TrackerTable3543[[#This Row],[Closed Value
(in USD)]]+_TrackerTable3543[[#This Row],[Total Dividend Received
(in USD)]]-_TrackerTable3543[[#This Row],[Total Cost
(in USD)]],"NA")</f>
        <v>NA</v>
      </c>
      <c r="U18" s="366" t="str">
        <f>IFERROR(_TrackerTable3543[[#This Row],[Total Profit &amp; Loss]]/_TrackerTable3543[[#This Row],[Total Cost
(in USD)]],"NA")</f>
        <v>NA</v>
      </c>
      <c r="V18" s="287"/>
    </row>
    <row r="19" spans="1:38" s="300" customFormat="1" ht="32" customHeight="1" x14ac:dyDescent="0.15">
      <c r="A19" s="287"/>
      <c r="B19" s="288">
        <v>12</v>
      </c>
      <c r="C19" s="356"/>
      <c r="D19" s="289"/>
      <c r="E19" s="290"/>
      <c r="F19" s="288"/>
      <c r="G19" s="290"/>
      <c r="H19" s="288"/>
      <c r="I19" s="291"/>
      <c r="J19" s="292"/>
      <c r="K19" s="294"/>
      <c r="L19" s="295"/>
      <c r="M19" s="298"/>
      <c r="N19" s="299"/>
      <c r="O19" s="362" t="str">
        <f>IFERROR(_TrackerTable3543[[#This Row],[Avg Cost per Share
(in Listed Currency)]]/_TrackerTable3543[[#This Row],[Exchange Rate 
(1 USD to xxx Listed Currency)]],"NA")</f>
        <v>NA</v>
      </c>
      <c r="P19" s="330" t="str">
        <f>IFERROR(_TrackerTable3543[[#This Row],[Quantity]]*_TrackerTable3543[[#This Row],[Avg Cost per Share
(in USD)]],"NA")</f>
        <v>NA</v>
      </c>
      <c r="Q19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19" s="367" t="str">
        <f>IFERROR(_TrackerTable3543[[#This Row],[Closed Price
(in USD)]]*_TrackerTable3543[[#This Row],[Quantity]],"NA")</f>
        <v>NA</v>
      </c>
      <c r="S19" s="329" t="str">
        <f>IFERROR(_TrackerTable3543[[#This Row],[Total Dividend Received
(in Listed Currency)]]/_TrackerTable3543[[#This Row],[Exchange Rate 
(1 USD to xxx Listed Currency)]],"NA")</f>
        <v>NA</v>
      </c>
      <c r="T19" s="367" t="str">
        <f>IFERROR(_TrackerTable3543[[#This Row],[Closed Value
(in USD)]]+_TrackerTable3543[[#This Row],[Total Dividend Received
(in USD)]]-_TrackerTable3543[[#This Row],[Total Cost
(in USD)]],"NA")</f>
        <v>NA</v>
      </c>
      <c r="U19" s="366" t="str">
        <f>IFERROR(_TrackerTable3543[[#This Row],[Total Profit &amp; Loss]]/_TrackerTable3543[[#This Row],[Total Cost
(in USD)]],"NA")</f>
        <v>NA</v>
      </c>
      <c r="V19" s="287"/>
    </row>
    <row r="20" spans="1:38" s="300" customFormat="1" ht="32" customHeight="1" x14ac:dyDescent="0.15">
      <c r="A20" s="287"/>
      <c r="B20" s="288">
        <v>13</v>
      </c>
      <c r="C20" s="356"/>
      <c r="D20" s="289"/>
      <c r="E20" s="290"/>
      <c r="F20" s="288"/>
      <c r="G20" s="290"/>
      <c r="H20" s="288"/>
      <c r="I20" s="291"/>
      <c r="J20" s="292"/>
      <c r="K20" s="294"/>
      <c r="L20" s="295"/>
      <c r="M20" s="298"/>
      <c r="N20" s="299"/>
      <c r="O20" s="362" t="str">
        <f>IFERROR(_TrackerTable3543[[#This Row],[Avg Cost per Share
(in Listed Currency)]]/_TrackerTable3543[[#This Row],[Exchange Rate 
(1 USD to xxx Listed Currency)]],"NA")</f>
        <v>NA</v>
      </c>
      <c r="P20" s="330" t="str">
        <f>IFERROR(_TrackerTable3543[[#This Row],[Quantity]]*_TrackerTable3543[[#This Row],[Avg Cost per Share
(in USD)]],"NA")</f>
        <v>NA</v>
      </c>
      <c r="Q20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0" s="367" t="str">
        <f>IFERROR(_TrackerTable3543[[#This Row],[Closed Price
(in USD)]]*_TrackerTable3543[[#This Row],[Quantity]],"NA")</f>
        <v>NA</v>
      </c>
      <c r="S20" s="329" t="str">
        <f>IFERROR(_TrackerTable3543[[#This Row],[Total Dividend Received
(in Listed Currency)]]/_TrackerTable3543[[#This Row],[Exchange Rate 
(1 USD to xxx Listed Currency)]],"NA")</f>
        <v>NA</v>
      </c>
      <c r="T20" s="367" t="str">
        <f>IFERROR(_TrackerTable3543[[#This Row],[Closed Value
(in USD)]]+_TrackerTable3543[[#This Row],[Total Dividend Received
(in USD)]]-_TrackerTable3543[[#This Row],[Total Cost
(in USD)]],"NA")</f>
        <v>NA</v>
      </c>
      <c r="U20" s="366" t="str">
        <f>IFERROR(_TrackerTable3543[[#This Row],[Total Profit &amp; Loss]]/_TrackerTable3543[[#This Row],[Total Cost
(in USD)]],"NA")</f>
        <v>NA</v>
      </c>
      <c r="V20" s="287"/>
    </row>
    <row r="21" spans="1:38" s="300" customFormat="1" ht="32" customHeight="1" x14ac:dyDescent="0.15">
      <c r="A21" s="287"/>
      <c r="B21" s="288">
        <v>14</v>
      </c>
      <c r="C21" s="356"/>
      <c r="D21" s="289"/>
      <c r="E21" s="290"/>
      <c r="F21" s="288"/>
      <c r="G21" s="290"/>
      <c r="H21" s="288"/>
      <c r="I21" s="291"/>
      <c r="J21" s="292"/>
      <c r="K21" s="294"/>
      <c r="L21" s="295"/>
      <c r="M21" s="298"/>
      <c r="N21" s="299"/>
      <c r="O21" s="362" t="str">
        <f>IFERROR(_TrackerTable3543[[#This Row],[Avg Cost per Share
(in Listed Currency)]]/_TrackerTable3543[[#This Row],[Exchange Rate 
(1 USD to xxx Listed Currency)]],"NA")</f>
        <v>NA</v>
      </c>
      <c r="P21" s="330" t="str">
        <f>IFERROR(_TrackerTable3543[[#This Row],[Quantity]]*_TrackerTable3543[[#This Row],[Avg Cost per Share
(in USD)]],"NA")</f>
        <v>NA</v>
      </c>
      <c r="Q21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1" s="367" t="str">
        <f>IFERROR(_TrackerTable3543[[#This Row],[Closed Price
(in USD)]]*_TrackerTable3543[[#This Row],[Quantity]],"NA")</f>
        <v>NA</v>
      </c>
      <c r="S21" s="329" t="str">
        <f>IFERROR(_TrackerTable3543[[#This Row],[Total Dividend Received
(in Listed Currency)]]/_TrackerTable3543[[#This Row],[Exchange Rate 
(1 USD to xxx Listed Currency)]],"NA")</f>
        <v>NA</v>
      </c>
      <c r="T21" s="367" t="str">
        <f>IFERROR(_TrackerTable3543[[#This Row],[Closed Value
(in USD)]]+_TrackerTable3543[[#This Row],[Total Dividend Received
(in USD)]]-_TrackerTable3543[[#This Row],[Total Cost
(in USD)]],"NA")</f>
        <v>NA</v>
      </c>
      <c r="U21" s="366" t="str">
        <f>IFERROR(_TrackerTable3543[[#This Row],[Total Profit &amp; Loss]]/_TrackerTable3543[[#This Row],[Total Cost
(in USD)]],"NA")</f>
        <v>NA</v>
      </c>
      <c r="V21" s="287"/>
    </row>
    <row r="22" spans="1:38" s="300" customFormat="1" ht="32" customHeight="1" x14ac:dyDescent="0.15">
      <c r="A22" s="287"/>
      <c r="B22" s="288">
        <v>15</v>
      </c>
      <c r="C22" s="356"/>
      <c r="D22" s="289"/>
      <c r="E22" s="290"/>
      <c r="F22" s="288"/>
      <c r="G22" s="290"/>
      <c r="H22" s="288"/>
      <c r="I22" s="291"/>
      <c r="J22" s="292"/>
      <c r="K22" s="294"/>
      <c r="L22" s="295"/>
      <c r="M22" s="298"/>
      <c r="N22" s="299"/>
      <c r="O22" s="362" t="str">
        <f>IFERROR(_TrackerTable3543[[#This Row],[Avg Cost per Share
(in Listed Currency)]]/_TrackerTable3543[[#This Row],[Exchange Rate 
(1 USD to xxx Listed Currency)]],"NA")</f>
        <v>NA</v>
      </c>
      <c r="P22" s="330" t="str">
        <f>IFERROR(_TrackerTable3543[[#This Row],[Quantity]]*_TrackerTable3543[[#This Row],[Avg Cost per Share
(in USD)]],"NA")</f>
        <v>NA</v>
      </c>
      <c r="Q22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2" s="367" t="str">
        <f>IFERROR(_TrackerTable3543[[#This Row],[Closed Price
(in USD)]]*_TrackerTable3543[[#This Row],[Quantity]],"NA")</f>
        <v>NA</v>
      </c>
      <c r="S22" s="329" t="str">
        <f>IFERROR(_TrackerTable3543[[#This Row],[Total Dividend Received
(in Listed Currency)]]/_TrackerTable3543[[#This Row],[Exchange Rate 
(1 USD to xxx Listed Currency)]],"NA")</f>
        <v>NA</v>
      </c>
      <c r="T22" s="367" t="str">
        <f>IFERROR(_TrackerTable3543[[#This Row],[Closed Value
(in USD)]]+_TrackerTable3543[[#This Row],[Total Dividend Received
(in USD)]]-_TrackerTable3543[[#This Row],[Total Cost
(in USD)]],"NA")</f>
        <v>NA</v>
      </c>
      <c r="U22" s="366" t="str">
        <f>IFERROR(_TrackerTable3543[[#This Row],[Total Profit &amp; Loss]]/_TrackerTable3543[[#This Row],[Total Cost
(in USD)]],"NA")</f>
        <v>NA</v>
      </c>
      <c r="V22" s="287"/>
    </row>
    <row r="23" spans="1:38" s="300" customFormat="1" ht="32" customHeight="1" x14ac:dyDescent="0.15">
      <c r="A23" s="287"/>
      <c r="B23" s="288">
        <v>16</v>
      </c>
      <c r="C23" s="356"/>
      <c r="D23" s="289"/>
      <c r="E23" s="290"/>
      <c r="F23" s="288"/>
      <c r="G23" s="290"/>
      <c r="H23" s="288"/>
      <c r="I23" s="291"/>
      <c r="J23" s="292"/>
      <c r="K23" s="294"/>
      <c r="L23" s="295"/>
      <c r="M23" s="298"/>
      <c r="N23" s="299"/>
      <c r="O23" s="362" t="str">
        <f>IFERROR(_TrackerTable3543[[#This Row],[Avg Cost per Share
(in Listed Currency)]]/_TrackerTable3543[[#This Row],[Exchange Rate 
(1 USD to xxx Listed Currency)]],"NA")</f>
        <v>NA</v>
      </c>
      <c r="P23" s="330" t="str">
        <f>IFERROR(_TrackerTable3543[[#This Row],[Quantity]]*_TrackerTable3543[[#This Row],[Avg Cost per Share
(in USD)]],"NA")</f>
        <v>NA</v>
      </c>
      <c r="Q23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3" s="367" t="str">
        <f>IFERROR(_TrackerTable3543[[#This Row],[Closed Price
(in USD)]]*_TrackerTable3543[[#This Row],[Quantity]],"NA")</f>
        <v>NA</v>
      </c>
      <c r="S23" s="329" t="str">
        <f>IFERROR(_TrackerTable3543[[#This Row],[Total Dividend Received
(in Listed Currency)]]/_TrackerTable3543[[#This Row],[Exchange Rate 
(1 USD to xxx Listed Currency)]],"NA")</f>
        <v>NA</v>
      </c>
      <c r="T23" s="367" t="str">
        <f>IFERROR(_TrackerTable3543[[#This Row],[Closed Value
(in USD)]]+_TrackerTable3543[[#This Row],[Total Dividend Received
(in USD)]]-_TrackerTable3543[[#This Row],[Total Cost
(in USD)]],"NA")</f>
        <v>NA</v>
      </c>
      <c r="U23" s="366" t="str">
        <f>IFERROR(_TrackerTable3543[[#This Row],[Total Profit &amp; Loss]]/_TrackerTable3543[[#This Row],[Total Cost
(in USD)]],"NA")</f>
        <v>NA</v>
      </c>
      <c r="V23" s="287"/>
    </row>
    <row r="24" spans="1:38" s="300" customFormat="1" ht="32" customHeight="1" x14ac:dyDescent="0.15">
      <c r="A24" s="287"/>
      <c r="B24" s="288">
        <v>16</v>
      </c>
      <c r="C24" s="356"/>
      <c r="D24" s="289"/>
      <c r="E24" s="290"/>
      <c r="F24" s="288"/>
      <c r="G24" s="290"/>
      <c r="H24" s="288"/>
      <c r="I24" s="291"/>
      <c r="J24" s="292"/>
      <c r="K24" s="294"/>
      <c r="L24" s="295"/>
      <c r="M24" s="298"/>
      <c r="N24" s="299"/>
      <c r="O24" s="362" t="str">
        <f>IFERROR(_TrackerTable3543[[#This Row],[Avg Cost per Share
(in Listed Currency)]]/_TrackerTable3543[[#This Row],[Exchange Rate 
(1 USD to xxx Listed Currency)]],"NA")</f>
        <v>NA</v>
      </c>
      <c r="P24" s="330" t="str">
        <f>IFERROR(_TrackerTable3543[[#This Row],[Quantity]]*_TrackerTable3543[[#This Row],[Avg Cost per Share
(in USD)]],"NA")</f>
        <v>NA</v>
      </c>
      <c r="Q24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4" s="367" t="str">
        <f>IFERROR(_TrackerTable3543[[#This Row],[Closed Price
(in USD)]]*_TrackerTable3543[[#This Row],[Quantity]],"NA")</f>
        <v>NA</v>
      </c>
      <c r="S24" s="329" t="str">
        <f>IFERROR(_TrackerTable3543[[#This Row],[Total Dividend Received
(in Listed Currency)]]/_TrackerTable3543[[#This Row],[Exchange Rate 
(1 USD to xxx Listed Currency)]],"NA")</f>
        <v>NA</v>
      </c>
      <c r="T24" s="367" t="str">
        <f>IFERROR(_TrackerTable3543[[#This Row],[Closed Value
(in USD)]]+_TrackerTable3543[[#This Row],[Total Dividend Received
(in USD)]]-_TrackerTable3543[[#This Row],[Total Cost
(in USD)]],"NA")</f>
        <v>NA</v>
      </c>
      <c r="U24" s="366" t="str">
        <f>IFERROR(_TrackerTable3543[[#This Row],[Total Profit &amp; Loss]]/_TrackerTable3543[[#This Row],[Total Cost
(in USD)]],"NA")</f>
        <v>NA</v>
      </c>
      <c r="V24" s="287"/>
    </row>
    <row r="25" spans="1:38" s="300" customFormat="1" ht="32" customHeight="1" x14ac:dyDescent="0.15">
      <c r="A25" s="287"/>
      <c r="B25" s="288">
        <v>17</v>
      </c>
      <c r="C25" s="356"/>
      <c r="D25" s="289"/>
      <c r="E25" s="290"/>
      <c r="F25" s="288"/>
      <c r="G25" s="290"/>
      <c r="H25" s="288"/>
      <c r="I25" s="291"/>
      <c r="J25" s="292"/>
      <c r="K25" s="294"/>
      <c r="L25" s="295"/>
      <c r="M25" s="298"/>
      <c r="N25" s="299"/>
      <c r="O25" s="362" t="str">
        <f>IFERROR(_TrackerTable3543[[#This Row],[Avg Cost per Share
(in Listed Currency)]]/_TrackerTable3543[[#This Row],[Exchange Rate 
(1 USD to xxx Listed Currency)]],"NA")</f>
        <v>NA</v>
      </c>
      <c r="P25" s="330" t="str">
        <f>IFERROR(_TrackerTable3543[[#This Row],[Quantity]]*_TrackerTable3543[[#This Row],[Avg Cost per Share
(in USD)]],"NA")</f>
        <v>NA</v>
      </c>
      <c r="Q25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5" s="367" t="str">
        <f>IFERROR(_TrackerTable3543[[#This Row],[Closed Price
(in USD)]]*_TrackerTable3543[[#This Row],[Quantity]],"NA")</f>
        <v>NA</v>
      </c>
      <c r="S25" s="329" t="str">
        <f>IFERROR(_TrackerTable3543[[#This Row],[Total Dividend Received
(in Listed Currency)]]/_TrackerTable3543[[#This Row],[Exchange Rate 
(1 USD to xxx Listed Currency)]],"NA")</f>
        <v>NA</v>
      </c>
      <c r="T25" s="367" t="str">
        <f>IFERROR(_TrackerTable3543[[#This Row],[Closed Value
(in USD)]]+_TrackerTable3543[[#This Row],[Total Dividend Received
(in USD)]]-_TrackerTable3543[[#This Row],[Total Cost
(in USD)]],"NA")</f>
        <v>NA</v>
      </c>
      <c r="U25" s="366" t="str">
        <f>IFERROR(_TrackerTable3543[[#This Row],[Total Profit &amp; Loss]]/_TrackerTable3543[[#This Row],[Total Cost
(in USD)]],"NA")</f>
        <v>NA</v>
      </c>
      <c r="V25" s="287"/>
    </row>
    <row r="26" spans="1:38" s="300" customFormat="1" ht="32" customHeight="1" x14ac:dyDescent="0.15">
      <c r="A26" s="287"/>
      <c r="B26" s="288">
        <v>18</v>
      </c>
      <c r="C26" s="356"/>
      <c r="D26" s="289"/>
      <c r="E26" s="290"/>
      <c r="F26" s="288"/>
      <c r="G26" s="290"/>
      <c r="H26" s="288"/>
      <c r="I26" s="291"/>
      <c r="J26" s="292"/>
      <c r="K26" s="294"/>
      <c r="L26" s="295"/>
      <c r="M26" s="298"/>
      <c r="N26" s="299"/>
      <c r="O26" s="362" t="str">
        <f>IFERROR(_TrackerTable3543[[#This Row],[Avg Cost per Share
(in Listed Currency)]]/_TrackerTable3543[[#This Row],[Exchange Rate 
(1 USD to xxx Listed Currency)]],"NA")</f>
        <v>NA</v>
      </c>
      <c r="P26" s="330" t="str">
        <f>IFERROR(_TrackerTable3543[[#This Row],[Quantity]]*_TrackerTable3543[[#This Row],[Avg Cost per Share
(in USD)]],"NA")</f>
        <v>NA</v>
      </c>
      <c r="Q26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6" s="367" t="str">
        <f>IFERROR(_TrackerTable3543[[#This Row],[Closed Price
(in USD)]]*_TrackerTable3543[[#This Row],[Quantity]],"NA")</f>
        <v>NA</v>
      </c>
      <c r="S26" s="329" t="str">
        <f>IFERROR(_TrackerTable3543[[#This Row],[Total Dividend Received
(in Listed Currency)]]/_TrackerTable3543[[#This Row],[Exchange Rate 
(1 USD to xxx Listed Currency)]],"NA")</f>
        <v>NA</v>
      </c>
      <c r="T26" s="367" t="str">
        <f>IFERROR(_TrackerTable3543[[#This Row],[Closed Value
(in USD)]]+_TrackerTable3543[[#This Row],[Total Dividend Received
(in USD)]]-_TrackerTable3543[[#This Row],[Total Cost
(in USD)]],"NA")</f>
        <v>NA</v>
      </c>
      <c r="U26" s="366" t="str">
        <f>IFERROR(_TrackerTable3543[[#This Row],[Total Profit &amp; Loss]]/_TrackerTable3543[[#This Row],[Total Cost
(in USD)]],"NA")</f>
        <v>NA</v>
      </c>
      <c r="V26" s="287"/>
    </row>
    <row r="27" spans="1:38" s="300" customFormat="1" ht="32" customHeight="1" x14ac:dyDescent="0.15">
      <c r="A27" s="287"/>
      <c r="B27" s="288">
        <v>19</v>
      </c>
      <c r="C27" s="356"/>
      <c r="D27" s="289"/>
      <c r="E27" s="290"/>
      <c r="F27" s="288"/>
      <c r="G27" s="290"/>
      <c r="H27" s="288"/>
      <c r="I27" s="291"/>
      <c r="J27" s="292"/>
      <c r="K27" s="294"/>
      <c r="L27" s="295"/>
      <c r="M27" s="298"/>
      <c r="N27" s="299"/>
      <c r="O27" s="362" t="str">
        <f>IFERROR(_TrackerTable3543[[#This Row],[Avg Cost per Share
(in Listed Currency)]]/_TrackerTable3543[[#This Row],[Exchange Rate 
(1 USD to xxx Listed Currency)]],"NA")</f>
        <v>NA</v>
      </c>
      <c r="P27" s="330" t="str">
        <f>IFERROR(_TrackerTable3543[[#This Row],[Quantity]]*_TrackerTable3543[[#This Row],[Avg Cost per Share
(in USD)]],"NA")</f>
        <v>NA</v>
      </c>
      <c r="Q27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7" s="367" t="str">
        <f>IFERROR(_TrackerTable3543[[#This Row],[Closed Price
(in USD)]]*_TrackerTable3543[[#This Row],[Quantity]],"NA")</f>
        <v>NA</v>
      </c>
      <c r="S27" s="329" t="str">
        <f>IFERROR(_TrackerTable3543[[#This Row],[Total Dividend Received
(in Listed Currency)]]/_TrackerTable3543[[#This Row],[Exchange Rate 
(1 USD to xxx Listed Currency)]],"NA")</f>
        <v>NA</v>
      </c>
      <c r="T27" s="367" t="str">
        <f>IFERROR(_TrackerTable3543[[#This Row],[Closed Value
(in USD)]]+_TrackerTable3543[[#This Row],[Total Dividend Received
(in USD)]]-_TrackerTable3543[[#This Row],[Total Cost
(in USD)]],"NA")</f>
        <v>NA</v>
      </c>
      <c r="U27" s="366" t="str">
        <f>IFERROR(_TrackerTable3543[[#This Row],[Total Profit &amp; Loss]]/_TrackerTable3543[[#This Row],[Total Cost
(in USD)]],"NA")</f>
        <v>NA</v>
      </c>
      <c r="V27" s="287"/>
    </row>
    <row r="28" spans="1:38" s="300" customFormat="1" ht="32" customHeight="1" x14ac:dyDescent="0.15">
      <c r="A28" s="287"/>
      <c r="B28" s="288">
        <v>20</v>
      </c>
      <c r="C28" s="356"/>
      <c r="D28" s="289"/>
      <c r="E28" s="290"/>
      <c r="F28" s="288"/>
      <c r="G28" s="290"/>
      <c r="H28" s="288"/>
      <c r="I28" s="291"/>
      <c r="J28" s="292"/>
      <c r="K28" s="294"/>
      <c r="L28" s="295"/>
      <c r="M28" s="298"/>
      <c r="N28" s="299"/>
      <c r="O28" s="362" t="str">
        <f>IFERROR(_TrackerTable3543[[#This Row],[Avg Cost per Share
(in Listed Currency)]]/_TrackerTable3543[[#This Row],[Exchange Rate 
(1 USD to xxx Listed Currency)]],"NA")</f>
        <v>NA</v>
      </c>
      <c r="P28" s="330" t="str">
        <f>IFERROR(_TrackerTable3543[[#This Row],[Quantity]]*_TrackerTable3543[[#This Row],[Avg Cost per Share
(in USD)]],"NA")</f>
        <v>NA</v>
      </c>
      <c r="Q28" s="331" t="str">
        <f>IF(_TrackerTable3543[[#This Row],[Exchange Rate 
(1 USD to xxx Listed Currency)]]&gt;0,_TrackerTable3543[[#This Row],[Closed Price
(in Listed Currency)]]/_TrackerTable3543[[#This Row],[Exchange Rate 
(1 USD to xxx Listed Currency)]],"NA")</f>
        <v>NA</v>
      </c>
      <c r="R28" s="367" t="str">
        <f>IFERROR(_TrackerTable3543[[#This Row],[Closed Price
(in USD)]]*_TrackerTable3543[[#This Row],[Quantity]],"NA")</f>
        <v>NA</v>
      </c>
      <c r="S28" s="329" t="str">
        <f>IFERROR(_TrackerTable3543[[#This Row],[Total Dividend Received
(in Listed Currency)]]/_TrackerTable3543[[#This Row],[Exchange Rate 
(1 USD to xxx Listed Currency)]],"NA")</f>
        <v>NA</v>
      </c>
      <c r="T28" s="367" t="str">
        <f>IFERROR(_TrackerTable3543[[#This Row],[Closed Value
(in USD)]]+_TrackerTable3543[[#This Row],[Total Dividend Received
(in USD)]]-_TrackerTable3543[[#This Row],[Total Cost
(in USD)]],"NA")</f>
        <v>NA</v>
      </c>
      <c r="U28" s="366" t="str">
        <f>IFERROR(_TrackerTable3543[[#This Row],[Total Profit &amp; Loss]]/_TrackerTable3543[[#This Row],[Total Cost
(in USD)]],"NA")</f>
        <v>NA</v>
      </c>
      <c r="V28" s="287"/>
    </row>
    <row r="29" spans="1:38" s="309" customFormat="1" ht="40" customHeight="1" x14ac:dyDescent="0.15">
      <c r="A29" s="301" t="s">
        <v>189</v>
      </c>
      <c r="B29" s="302"/>
      <c r="C29" s="357"/>
      <c r="D29" s="303"/>
      <c r="E29" s="304"/>
      <c r="F29" s="302"/>
      <c r="G29" s="302"/>
      <c r="H29" s="302"/>
      <c r="I29" s="302"/>
      <c r="J29" s="305"/>
      <c r="K29" s="307"/>
      <c r="L29" s="306"/>
      <c r="M29" s="306"/>
      <c r="N29" s="306"/>
      <c r="O29" s="104" t="s">
        <v>53</v>
      </c>
      <c r="P29" s="104">
        <f>SUBTOTAL(109,_TrackerTable3543[Total Cost
(in USD)])</f>
        <v>8133.1288888888885</v>
      </c>
      <c r="Q29" s="104"/>
      <c r="R29" s="104">
        <f>SUBTOTAL(109,_TrackerTable3543[Closed Value
(in USD)])</f>
        <v>14888.968888888889</v>
      </c>
      <c r="S29" s="104">
        <f>SUBTOTAL(109,_TrackerTable3543[Total Dividend Received
(in USD)])</f>
        <v>157.13333333333333</v>
      </c>
      <c r="T29" s="104">
        <f>SUBTOTAL(109,_TrackerTable3543[Total Profit &amp; Loss])</f>
        <v>6912.9733333333334</v>
      </c>
      <c r="U29" s="105">
        <f>_xlfn.IFNA(_TrackerTable3543[[#Totals],[Total Profit &amp; Loss]]/_TrackerTable3543[[#Totals],[Total Cost
(in USD)]]-1,"NA")</f>
        <v>-0.15002289675041003</v>
      </c>
      <c r="V29" s="301"/>
    </row>
    <row r="30" spans="1:38" s="313" customFormat="1" x14ac:dyDescent="0.2">
      <c r="A30" s="310"/>
      <c r="B30" s="337"/>
      <c r="C30" s="337"/>
      <c r="D30" s="337"/>
      <c r="E30" s="337"/>
      <c r="F30" s="337"/>
      <c r="G30" s="337"/>
      <c r="H30" s="338"/>
      <c r="I30" s="338"/>
      <c r="J30" s="339"/>
      <c r="K30" s="341"/>
      <c r="L30" s="340"/>
      <c r="M30" s="343"/>
      <c r="N30" s="340"/>
      <c r="O30" s="340"/>
      <c r="P30" s="340"/>
      <c r="Q30" s="345"/>
      <c r="R30" s="340"/>
      <c r="S30" s="344"/>
      <c r="T30" s="344"/>
      <c r="U30" s="342"/>
      <c r="V30" s="309"/>
      <c r="W30" s="309"/>
      <c r="X30" s="311"/>
      <c r="Y30" s="312"/>
      <c r="AA30" s="314"/>
      <c r="AB30" s="314"/>
    </row>
    <row r="31" spans="1:38" x14ac:dyDescent="0.2">
      <c r="A31" s="315"/>
      <c r="B31" s="337"/>
      <c r="C31" s="337"/>
      <c r="D31" s="337"/>
      <c r="E31" s="337"/>
      <c r="F31" s="337"/>
      <c r="G31" s="337"/>
      <c r="H31" s="338"/>
      <c r="I31" s="338"/>
      <c r="J31" s="346"/>
      <c r="K31" s="348"/>
      <c r="L31" s="347"/>
      <c r="M31" s="338"/>
      <c r="N31" s="347"/>
      <c r="O31" s="347"/>
      <c r="P31" s="347"/>
      <c r="Q31" s="350"/>
      <c r="R31" s="347"/>
      <c r="S31" s="349"/>
      <c r="T31" s="344"/>
      <c r="U31" s="338"/>
      <c r="V31" s="309"/>
      <c r="W31" s="309"/>
      <c r="X31" s="316"/>
    </row>
    <row r="32" spans="1:38" s="317" customFormat="1" x14ac:dyDescent="0.2">
      <c r="A32" s="315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44"/>
      <c r="U32" s="337"/>
      <c r="V32" s="309"/>
      <c r="W32" s="309"/>
      <c r="X32" s="316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</row>
    <row r="33" spans="1:38" s="317" customFormat="1" x14ac:dyDescent="0.2">
      <c r="A33" s="315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44"/>
      <c r="U33" s="337"/>
      <c r="V33" s="309"/>
      <c r="W33" s="309"/>
      <c r="X33" s="316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</row>
    <row r="34" spans="1:38" s="317" customFormat="1" x14ac:dyDescent="0.2">
      <c r="A34" s="315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44"/>
      <c r="U34" s="337"/>
      <c r="V34" s="309"/>
      <c r="W34" s="309"/>
      <c r="X34" s="316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</row>
    <row r="35" spans="1:38" s="317" customFormat="1" x14ac:dyDescent="0.2">
      <c r="A35" s="315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44"/>
      <c r="U35" s="337"/>
      <c r="V35" s="309"/>
      <c r="W35" s="309"/>
      <c r="X35" s="316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</row>
    <row r="36" spans="1:38" s="317" customFormat="1" x14ac:dyDescent="0.2">
      <c r="A36" s="315"/>
      <c r="B36" s="337"/>
      <c r="C36" s="337" t="str">
        <f ca="1">"© "&amp;YEAR(TODAY())&amp;" Piranha Ltd. All rights reserved."</f>
        <v>© 2026 Piranha Ltd. All rights reserved.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44"/>
      <c r="U36" s="337"/>
      <c r="V36" s="309"/>
      <c r="W36" s="309"/>
      <c r="X36" s="316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</row>
    <row r="37" spans="1:38" s="317" customFormat="1" x14ac:dyDescent="0.2">
      <c r="A37" s="315"/>
      <c r="B37" s="338"/>
      <c r="C37" s="338"/>
      <c r="D37" s="351"/>
      <c r="E37" s="349"/>
      <c r="F37" s="338"/>
      <c r="G37" s="338"/>
      <c r="H37" s="338"/>
      <c r="I37" s="338"/>
      <c r="J37" s="346"/>
      <c r="K37" s="348"/>
      <c r="L37" s="347"/>
      <c r="M37" s="338"/>
      <c r="N37" s="347"/>
      <c r="O37" s="347"/>
      <c r="P37" s="347"/>
      <c r="Q37" s="350"/>
      <c r="R37" s="347"/>
      <c r="S37" s="349"/>
      <c r="T37" s="344"/>
      <c r="U37" s="338"/>
      <c r="V37" s="309"/>
      <c r="W37" s="309"/>
      <c r="X37" s="316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</row>
    <row r="38" spans="1:38" s="317" customFormat="1" x14ac:dyDescent="0.2">
      <c r="A38" s="315"/>
      <c r="B38" s="338"/>
      <c r="C38" s="351"/>
      <c r="D38" s="351"/>
      <c r="E38" s="349"/>
      <c r="F38" s="338"/>
      <c r="G38" s="338"/>
      <c r="H38" s="338"/>
      <c r="I38" s="338"/>
      <c r="J38" s="346"/>
      <c r="K38" s="348"/>
      <c r="L38" s="347"/>
      <c r="M38" s="338"/>
      <c r="N38" s="347"/>
      <c r="O38" s="347"/>
      <c r="P38" s="347"/>
      <c r="Q38" s="350"/>
      <c r="R38" s="347"/>
      <c r="S38" s="349"/>
      <c r="T38" s="344"/>
      <c r="U38" s="338"/>
      <c r="V38" s="309"/>
      <c r="W38" s="309"/>
      <c r="X38" s="316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</row>
    <row r="39" spans="1:38" s="317" customFormat="1" x14ac:dyDescent="0.2">
      <c r="A39" s="315"/>
      <c r="B39" s="315"/>
      <c r="C39" s="315"/>
      <c r="D39" s="319"/>
      <c r="E39" s="315"/>
      <c r="F39" s="315"/>
      <c r="G39" s="315"/>
      <c r="H39" s="315"/>
      <c r="I39" s="315"/>
      <c r="J39" s="320"/>
      <c r="K39" s="322"/>
      <c r="L39" s="321"/>
      <c r="M39" s="315"/>
      <c r="N39" s="321"/>
      <c r="O39" s="321"/>
      <c r="P39" s="321"/>
      <c r="Q39" s="323"/>
      <c r="R39" s="321"/>
      <c r="S39" s="316"/>
      <c r="U39" s="315"/>
      <c r="V39" s="316"/>
      <c r="W39" s="316"/>
      <c r="X39" s="316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</row>
    <row r="40" spans="1:38" s="317" customFormat="1" x14ac:dyDescent="0.2">
      <c r="A40" s="315"/>
      <c r="B40" s="315"/>
      <c r="C40" s="315"/>
      <c r="D40" s="319"/>
      <c r="E40" s="315"/>
      <c r="F40" s="315"/>
      <c r="G40" s="315"/>
      <c r="H40" s="315"/>
      <c r="I40" s="315"/>
      <c r="J40" s="320"/>
      <c r="K40" s="322"/>
      <c r="L40" s="321"/>
      <c r="M40" s="315"/>
      <c r="N40" s="321"/>
      <c r="O40" s="321"/>
      <c r="P40" s="321"/>
      <c r="Q40" s="323"/>
      <c r="R40" s="321"/>
      <c r="S40" s="316"/>
      <c r="U40" s="315"/>
      <c r="V40" s="316"/>
      <c r="W40" s="316"/>
      <c r="X40" s="316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</row>
    <row r="41" spans="1:38" s="317" customFormat="1" x14ac:dyDescent="0.2">
      <c r="A41" s="315"/>
      <c r="B41" s="315"/>
      <c r="C41" s="315"/>
      <c r="D41" s="319"/>
      <c r="E41" s="315"/>
      <c r="F41" s="315"/>
      <c r="G41" s="315"/>
      <c r="H41" s="315"/>
      <c r="I41" s="315"/>
      <c r="J41" s="320"/>
      <c r="K41" s="322"/>
      <c r="L41" s="321"/>
      <c r="M41" s="315"/>
      <c r="N41" s="321"/>
      <c r="O41" s="321"/>
      <c r="P41" s="321"/>
      <c r="Q41" s="323"/>
      <c r="R41" s="321"/>
      <c r="S41" s="316"/>
      <c r="U41" s="315"/>
      <c r="V41" s="316"/>
      <c r="W41" s="316"/>
      <c r="X41" s="316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</row>
    <row r="42" spans="1:38" s="317" customFormat="1" x14ac:dyDescent="0.2">
      <c r="A42" s="315"/>
      <c r="B42" s="315"/>
      <c r="C42" s="315"/>
      <c r="D42" s="319"/>
      <c r="E42" s="315"/>
      <c r="F42" s="315"/>
      <c r="G42" s="315"/>
      <c r="H42" s="315"/>
      <c r="I42" s="315"/>
      <c r="J42" s="320"/>
      <c r="K42" s="322"/>
      <c r="L42" s="321"/>
      <c r="M42" s="315"/>
      <c r="N42" s="321"/>
      <c r="O42" s="321"/>
      <c r="P42" s="321"/>
      <c r="Q42" s="323"/>
      <c r="R42" s="321"/>
      <c r="S42" s="316"/>
      <c r="U42" s="315"/>
      <c r="V42" s="316"/>
      <c r="W42" s="316"/>
      <c r="X42" s="316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</row>
    <row r="43" spans="1:38" s="317" customFormat="1" x14ac:dyDescent="0.2">
      <c r="A43" s="315"/>
      <c r="B43" s="315"/>
      <c r="C43" s="315"/>
      <c r="D43" s="319"/>
      <c r="E43" s="315"/>
      <c r="F43" s="315"/>
      <c r="G43" s="315"/>
      <c r="H43" s="315"/>
      <c r="I43" s="315"/>
      <c r="J43" s="320"/>
      <c r="K43" s="322"/>
      <c r="L43" s="321"/>
      <c r="M43" s="315"/>
      <c r="N43" s="321"/>
      <c r="O43" s="321"/>
      <c r="P43" s="321"/>
      <c r="Q43" s="323"/>
      <c r="R43" s="321"/>
      <c r="S43" s="316"/>
      <c r="U43" s="315"/>
      <c r="V43" s="316"/>
      <c r="W43" s="316"/>
      <c r="X43" s="316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</row>
    <row r="44" spans="1:38" s="317" customFormat="1" x14ac:dyDescent="0.2">
      <c r="A44" s="315"/>
      <c r="B44" s="315"/>
      <c r="C44" s="315"/>
      <c r="D44" s="319"/>
      <c r="E44" s="315"/>
      <c r="F44" s="315"/>
      <c r="G44" s="315"/>
      <c r="H44" s="315"/>
      <c r="I44" s="315"/>
      <c r="J44" s="320"/>
      <c r="K44" s="322"/>
      <c r="L44" s="321"/>
      <c r="M44" s="315"/>
      <c r="N44" s="321"/>
      <c r="O44" s="321"/>
      <c r="P44" s="321"/>
      <c r="Q44" s="323"/>
      <c r="R44" s="321"/>
      <c r="S44" s="316"/>
      <c r="U44" s="315"/>
      <c r="V44" s="316"/>
      <c r="W44" s="316"/>
      <c r="X44" s="316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</row>
  </sheetData>
  <sheetProtection formatCells="0" formatColumns="0" formatRows="0" insertColumns="0" insertRows="0" insertHyperlinks="0" deleteColumns="0" deleteRows="0" sort="0" autoFilter="0" pivotTables="0"/>
  <conditionalFormatting sqref="A8:B21 D8:U21 C8:C22 T8:T29 A22:U29">
    <cfRule type="cellIs" dxfId="0" priority="6" stopIfTrue="1" operator="equal">
      <formula>"NA"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CE915F-6459-4F78-8265-786A572058D2}">
          <x14:formula1>
            <xm:f>'VMI Portfolio Parameter'!$B$44:$B$47</xm:f>
          </x14:formula1>
          <xm:sqref>G8:G28</xm:sqref>
        </x14:dataValidation>
        <x14:dataValidation type="list" allowBlank="1" showInputMessage="1" showErrorMessage="1" xr:uid="{437FA890-6026-4458-931C-37E8ACC5F0FA}">
          <x14:formula1>
            <xm:f>'VMI Portfolio Parameter'!$B$33:$B$42</xm:f>
          </x14:formula1>
          <xm:sqref>F8:F28</xm:sqref>
        </x14:dataValidation>
        <x14:dataValidation type="list" allowBlank="1" showInputMessage="1" showErrorMessage="1" xr:uid="{EABE916A-072C-474C-A012-9E04D955432C}">
          <x14:formula1>
            <xm:f>'VMI Portfolio Parameter'!$B$6:$B$18</xm:f>
          </x14:formula1>
          <xm:sqref>E8:E28</xm:sqref>
        </x14:dataValidation>
        <x14:dataValidation type="list" allowBlank="1" showInputMessage="1" showErrorMessage="1" xr:uid="{A4ECC532-F18E-4EA2-B003-BD56BEE672FA}">
          <x14:formula1>
            <xm:f>'VMI Portfolio Parameter'!$B$20:$B$31</xm:f>
          </x14:formula1>
          <xm:sqref>H8:H28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85D73"/>
  </sheetPr>
  <dimension ref="B1:B53"/>
  <sheetViews>
    <sheetView workbookViewId="0">
      <selection activeCell="I41" sqref="I41"/>
    </sheetView>
  </sheetViews>
  <sheetFormatPr baseColWidth="10" defaultColWidth="8.33203125" defaultRowHeight="16" outlineLevelRow="1" x14ac:dyDescent="0.2"/>
  <cols>
    <col min="1" max="1" width="3" style="66" customWidth="1"/>
    <col min="2" max="2" width="91.83203125" style="66" bestFit="1" customWidth="1"/>
    <col min="3" max="16384" width="8.33203125" style="66"/>
  </cols>
  <sheetData>
    <row r="1" spans="2:2" ht="7.5" customHeight="1" x14ac:dyDescent="0.2"/>
    <row r="2" spans="2:2" x14ac:dyDescent="0.2">
      <c r="B2" s="55" t="s">
        <v>240</v>
      </c>
    </row>
    <row r="3" spans="2:2" ht="17" x14ac:dyDescent="0.2">
      <c r="B3" s="69" t="s">
        <v>120</v>
      </c>
    </row>
    <row r="5" spans="2:2" ht="24" customHeight="1" x14ac:dyDescent="0.2">
      <c r="B5" s="83" t="s">
        <v>96</v>
      </c>
    </row>
    <row r="6" spans="2:2" outlineLevel="1" x14ac:dyDescent="0.2">
      <c r="B6" s="68" t="s">
        <v>119</v>
      </c>
    </row>
    <row r="7" spans="2:2" outlineLevel="1" x14ac:dyDescent="0.2">
      <c r="B7" s="68" t="s">
        <v>118</v>
      </c>
    </row>
    <row r="8" spans="2:2" outlineLevel="1" x14ac:dyDescent="0.2">
      <c r="B8" s="68" t="s">
        <v>117</v>
      </c>
    </row>
    <row r="9" spans="2:2" outlineLevel="1" x14ac:dyDescent="0.2">
      <c r="B9" s="68" t="s">
        <v>194</v>
      </c>
    </row>
    <row r="10" spans="2:2" outlineLevel="1" x14ac:dyDescent="0.2">
      <c r="B10" s="68" t="s">
        <v>116</v>
      </c>
    </row>
    <row r="11" spans="2:2" outlineLevel="1" x14ac:dyDescent="0.2">
      <c r="B11" s="68" t="s">
        <v>52</v>
      </c>
    </row>
    <row r="12" spans="2:2" outlineLevel="1" x14ac:dyDescent="0.2">
      <c r="B12" s="68" t="s">
        <v>115</v>
      </c>
    </row>
    <row r="13" spans="2:2" outlineLevel="1" x14ac:dyDescent="0.2">
      <c r="B13" s="68" t="s">
        <v>114</v>
      </c>
    </row>
    <row r="14" spans="2:2" outlineLevel="1" x14ac:dyDescent="0.2">
      <c r="B14" s="68" t="s">
        <v>113</v>
      </c>
    </row>
    <row r="15" spans="2:2" outlineLevel="1" x14ac:dyDescent="0.2">
      <c r="B15" s="68" t="s">
        <v>75</v>
      </c>
    </row>
    <row r="16" spans="2:2" outlineLevel="1" x14ac:dyDescent="0.2">
      <c r="B16" s="68" t="s">
        <v>51</v>
      </c>
    </row>
    <row r="17" spans="2:2" outlineLevel="1" x14ac:dyDescent="0.2">
      <c r="B17" s="68" t="s">
        <v>112</v>
      </c>
    </row>
    <row r="18" spans="2:2" outlineLevel="1" x14ac:dyDescent="0.2">
      <c r="B18" s="67"/>
    </row>
    <row r="19" spans="2:2" s="84" customFormat="1" ht="24" customHeight="1" x14ac:dyDescent="0.15">
      <c r="B19" s="85" t="s">
        <v>61</v>
      </c>
    </row>
    <row r="20" spans="2:2" outlineLevel="1" x14ac:dyDescent="0.2">
      <c r="B20" s="68" t="s">
        <v>57</v>
      </c>
    </row>
    <row r="21" spans="2:2" outlineLevel="1" x14ac:dyDescent="0.2">
      <c r="B21" s="382" t="s">
        <v>262</v>
      </c>
    </row>
    <row r="22" spans="2:2" outlineLevel="1" x14ac:dyDescent="0.2">
      <c r="B22" s="68" t="s">
        <v>185</v>
      </c>
    </row>
    <row r="23" spans="2:2" outlineLevel="1" x14ac:dyDescent="0.2">
      <c r="B23" s="68" t="s">
        <v>191</v>
      </c>
    </row>
    <row r="24" spans="2:2" outlineLevel="1" x14ac:dyDescent="0.2">
      <c r="B24" s="68" t="s">
        <v>192</v>
      </c>
    </row>
    <row r="25" spans="2:2" outlineLevel="1" x14ac:dyDescent="0.2">
      <c r="B25" s="68" t="s">
        <v>186</v>
      </c>
    </row>
    <row r="26" spans="2:2" outlineLevel="1" x14ac:dyDescent="0.2">
      <c r="B26" s="68" t="s">
        <v>238</v>
      </c>
    </row>
    <row r="27" spans="2:2" outlineLevel="1" x14ac:dyDescent="0.2">
      <c r="B27" s="382" t="s">
        <v>261</v>
      </c>
    </row>
    <row r="28" spans="2:2" outlineLevel="1" x14ac:dyDescent="0.2">
      <c r="B28" s="382" t="s">
        <v>263</v>
      </c>
    </row>
    <row r="29" spans="2:2" outlineLevel="1" x14ac:dyDescent="0.2">
      <c r="B29" s="68" t="s">
        <v>56</v>
      </c>
    </row>
    <row r="30" spans="2:2" outlineLevel="1" x14ac:dyDescent="0.2">
      <c r="B30" s="68" t="s">
        <v>239</v>
      </c>
    </row>
    <row r="31" spans="2:2" outlineLevel="1" x14ac:dyDescent="0.2">
      <c r="B31" s="67"/>
    </row>
    <row r="32" spans="2:2" s="84" customFormat="1" ht="24" customHeight="1" x14ac:dyDescent="0.15">
      <c r="B32" s="85" t="s">
        <v>68</v>
      </c>
    </row>
    <row r="33" spans="2:2" outlineLevel="1" x14ac:dyDescent="0.2">
      <c r="B33" s="68" t="s">
        <v>67</v>
      </c>
    </row>
    <row r="34" spans="2:2" outlineLevel="1" x14ac:dyDescent="0.2">
      <c r="B34" s="68" t="s">
        <v>228</v>
      </c>
    </row>
    <row r="35" spans="2:2" outlineLevel="1" x14ac:dyDescent="0.2">
      <c r="B35" s="68" t="s">
        <v>66</v>
      </c>
    </row>
    <row r="36" spans="2:2" outlineLevel="1" x14ac:dyDescent="0.2">
      <c r="B36" s="68" t="s">
        <v>48</v>
      </c>
    </row>
    <row r="37" spans="2:2" outlineLevel="1" x14ac:dyDescent="0.2">
      <c r="B37" s="68" t="s">
        <v>65</v>
      </c>
    </row>
    <row r="38" spans="2:2" outlineLevel="1" x14ac:dyDescent="0.2">
      <c r="B38" s="68" t="s">
        <v>64</v>
      </c>
    </row>
    <row r="39" spans="2:2" outlineLevel="1" x14ac:dyDescent="0.2">
      <c r="B39" s="68" t="s">
        <v>47</v>
      </c>
    </row>
    <row r="40" spans="2:2" outlineLevel="1" x14ac:dyDescent="0.2">
      <c r="B40" s="68" t="s">
        <v>63</v>
      </c>
    </row>
    <row r="41" spans="2:2" outlineLevel="1" x14ac:dyDescent="0.2">
      <c r="B41" s="68" t="s">
        <v>242</v>
      </c>
    </row>
    <row r="42" spans="2:2" outlineLevel="1" x14ac:dyDescent="0.2">
      <c r="B42" s="67"/>
    </row>
    <row r="43" spans="2:2" s="84" customFormat="1" ht="24" customHeight="1" x14ac:dyDescent="0.15">
      <c r="B43" s="85" t="s">
        <v>49</v>
      </c>
    </row>
    <row r="44" spans="2:2" outlineLevel="1" x14ac:dyDescent="0.2">
      <c r="B44" s="68" t="s">
        <v>50</v>
      </c>
    </row>
    <row r="45" spans="2:2" outlineLevel="1" x14ac:dyDescent="0.2">
      <c r="B45" s="68" t="s">
        <v>71</v>
      </c>
    </row>
    <row r="46" spans="2:2" outlineLevel="1" x14ac:dyDescent="0.2">
      <c r="B46" s="68" t="s">
        <v>70</v>
      </c>
    </row>
    <row r="47" spans="2:2" outlineLevel="1" x14ac:dyDescent="0.2">
      <c r="B47" s="67"/>
    </row>
    <row r="49" spans="2:2" x14ac:dyDescent="0.2">
      <c r="B49" s="354"/>
    </row>
    <row r="50" spans="2:2" x14ac:dyDescent="0.2">
      <c r="B50" s="354"/>
    </row>
    <row r="51" spans="2:2" x14ac:dyDescent="0.2">
      <c r="B51" s="380" t="str">
        <f ca="1">"© "&amp;YEAR(TODAY())&amp;" Piranha Ltd. All rights reserved."</f>
        <v>© 2026 Piranha Ltd. All rights reserved.</v>
      </c>
    </row>
    <row r="52" spans="2:2" x14ac:dyDescent="0.2">
      <c r="B52" s="354"/>
    </row>
    <row r="53" spans="2:2" x14ac:dyDescent="0.2">
      <c r="B53" s="358"/>
    </row>
  </sheetData>
  <sortState xmlns:xlrd2="http://schemas.microsoft.com/office/spreadsheetml/2017/richdata2" ref="B21:B30">
    <sortCondition ref="B20:B30"/>
  </sortState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F6E6-2B15-0240-A30B-896A1C352ED8}">
  <sheetPr>
    <tabColor rgb="FF485D73"/>
  </sheetPr>
  <dimension ref="A1:G57"/>
  <sheetViews>
    <sheetView workbookViewId="0">
      <selection activeCell="A2" sqref="A2:XFD2"/>
    </sheetView>
  </sheetViews>
  <sheetFormatPr baseColWidth="10" defaultRowHeight="13" x14ac:dyDescent="0.15"/>
  <cols>
    <col min="1" max="2" width="2.83203125" style="394" customWidth="1"/>
    <col min="3" max="5" width="22.83203125" style="394" customWidth="1"/>
    <col min="6" max="7" width="2.83203125" style="394" customWidth="1"/>
    <col min="8" max="16384" width="10.83203125" style="394"/>
  </cols>
  <sheetData>
    <row r="1" spans="1:7" ht="14" thickBot="1" x14ac:dyDescent="0.2">
      <c r="A1" s="354"/>
      <c r="B1" s="354"/>
      <c r="C1" s="354"/>
      <c r="D1" s="354"/>
      <c r="E1" s="354"/>
      <c r="F1" s="354"/>
      <c r="G1" s="354"/>
    </row>
    <row r="2" spans="1:7" s="408" customFormat="1" ht="30" customHeight="1" thickBot="1" x14ac:dyDescent="0.2">
      <c r="A2" s="407"/>
      <c r="B2" s="409"/>
      <c r="C2" s="556" t="s">
        <v>4</v>
      </c>
      <c r="D2" s="556"/>
      <c r="E2" s="556"/>
      <c r="F2" s="410"/>
      <c r="G2" s="407"/>
    </row>
    <row r="3" spans="1:7" ht="15" customHeight="1" x14ac:dyDescent="0.15">
      <c r="A3" s="354"/>
      <c r="B3" s="413"/>
      <c r="C3" s="180"/>
      <c r="D3" s="180"/>
      <c r="E3" s="180"/>
      <c r="F3" s="414"/>
      <c r="G3" s="354"/>
    </row>
    <row r="4" spans="1:7" ht="21" x14ac:dyDescent="0.25">
      <c r="A4" s="354"/>
      <c r="B4" s="413"/>
      <c r="C4" s="411" t="s">
        <v>274</v>
      </c>
      <c r="D4" s="412"/>
      <c r="E4" s="412"/>
      <c r="F4" s="414"/>
      <c r="G4" s="354"/>
    </row>
    <row r="5" spans="1:7" ht="15" customHeight="1" thickBot="1" x14ac:dyDescent="0.2">
      <c r="A5" s="354"/>
      <c r="B5" s="413"/>
      <c r="C5" s="180"/>
      <c r="D5" s="180"/>
      <c r="E5" s="180"/>
      <c r="F5" s="414"/>
      <c r="G5" s="354"/>
    </row>
    <row r="6" spans="1:7" ht="15" thickBot="1" x14ac:dyDescent="0.2">
      <c r="A6" s="354"/>
      <c r="B6" s="413"/>
      <c r="C6" s="391" t="s">
        <v>6</v>
      </c>
      <c r="D6" s="392" t="s">
        <v>5</v>
      </c>
      <c r="E6" s="393"/>
      <c r="F6" s="414"/>
      <c r="G6" s="354"/>
    </row>
    <row r="7" spans="1:7" ht="14" x14ac:dyDescent="0.15">
      <c r="A7" s="354"/>
      <c r="B7" s="413"/>
      <c r="C7" s="231" t="s">
        <v>11</v>
      </c>
      <c r="D7" s="230" t="s">
        <v>8</v>
      </c>
      <c r="E7" s="221"/>
      <c r="F7" s="414"/>
      <c r="G7" s="354"/>
    </row>
    <row r="8" spans="1:7" ht="14" x14ac:dyDescent="0.15">
      <c r="A8" s="354"/>
      <c r="B8" s="413"/>
      <c r="C8" s="233" t="s">
        <v>152</v>
      </c>
      <c r="D8" s="232" t="s">
        <v>151</v>
      </c>
      <c r="E8" s="218"/>
      <c r="F8" s="414"/>
      <c r="G8" s="354"/>
    </row>
    <row r="9" spans="1:7" ht="14" x14ac:dyDescent="0.15">
      <c r="A9" s="354"/>
      <c r="B9" s="413"/>
      <c r="C9" s="233" t="s">
        <v>153</v>
      </c>
      <c r="D9" s="232" t="s">
        <v>157</v>
      </c>
      <c r="E9" s="218"/>
      <c r="F9" s="414"/>
      <c r="G9" s="354"/>
    </row>
    <row r="10" spans="1:7" ht="14" x14ac:dyDescent="0.15">
      <c r="A10" s="354"/>
      <c r="B10" s="413"/>
      <c r="C10" s="233" t="s">
        <v>173</v>
      </c>
      <c r="D10" s="232" t="s">
        <v>172</v>
      </c>
      <c r="E10" s="218"/>
      <c r="F10" s="414"/>
      <c r="G10" s="354"/>
    </row>
    <row r="11" spans="1:7" ht="14" x14ac:dyDescent="0.15">
      <c r="A11" s="354"/>
      <c r="B11" s="413"/>
      <c r="C11" s="233" t="s">
        <v>13</v>
      </c>
      <c r="D11" s="232" t="s">
        <v>158</v>
      </c>
      <c r="E11" s="218"/>
      <c r="F11" s="414"/>
      <c r="G11" s="354"/>
    </row>
    <row r="12" spans="1:7" ht="14" x14ac:dyDescent="0.15">
      <c r="A12" s="354"/>
      <c r="B12" s="413"/>
      <c r="C12" s="233" t="s">
        <v>244</v>
      </c>
      <c r="D12" s="232" t="s">
        <v>243</v>
      </c>
      <c r="E12" s="218"/>
      <c r="F12" s="414"/>
      <c r="G12" s="354"/>
    </row>
    <row r="13" spans="1:7" ht="14" x14ac:dyDescent="0.15">
      <c r="A13" s="354"/>
      <c r="B13" s="413"/>
      <c r="C13" s="233" t="s">
        <v>160</v>
      </c>
      <c r="D13" s="232" t="s">
        <v>159</v>
      </c>
      <c r="E13" s="218"/>
      <c r="F13" s="414"/>
      <c r="G13" s="354"/>
    </row>
    <row r="14" spans="1:7" ht="14" x14ac:dyDescent="0.15">
      <c r="A14" s="354"/>
      <c r="B14" s="413"/>
      <c r="C14" s="233" t="s">
        <v>12</v>
      </c>
      <c r="D14" s="232" t="s">
        <v>161</v>
      </c>
      <c r="E14" s="218"/>
      <c r="F14" s="414"/>
      <c r="G14" s="354"/>
    </row>
    <row r="15" spans="1:7" ht="14" x14ac:dyDescent="0.15">
      <c r="A15" s="354"/>
      <c r="B15" s="413"/>
      <c r="C15" s="233" t="s">
        <v>201</v>
      </c>
      <c r="D15" s="232" t="s">
        <v>200</v>
      </c>
      <c r="E15" s="218"/>
      <c r="F15" s="414"/>
      <c r="G15" s="354"/>
    </row>
    <row r="16" spans="1:7" ht="14" x14ac:dyDescent="0.15">
      <c r="A16" s="354"/>
      <c r="B16" s="413"/>
      <c r="C16" s="233" t="s">
        <v>180</v>
      </c>
      <c r="D16" s="232" t="s">
        <v>179</v>
      </c>
      <c r="E16" s="218"/>
      <c r="F16" s="414"/>
      <c r="G16" s="354"/>
    </row>
    <row r="17" spans="1:7" ht="14" x14ac:dyDescent="0.15">
      <c r="A17" s="354"/>
      <c r="B17" s="413"/>
      <c r="C17" s="233" t="s">
        <v>45</v>
      </c>
      <c r="D17" s="232" t="s">
        <v>162</v>
      </c>
      <c r="E17" s="218"/>
      <c r="F17" s="414"/>
      <c r="G17" s="354"/>
    </row>
    <row r="18" spans="1:7" ht="14" x14ac:dyDescent="0.15">
      <c r="A18" s="354"/>
      <c r="B18" s="413"/>
      <c r="C18" s="233" t="s">
        <v>199</v>
      </c>
      <c r="D18" s="232" t="s">
        <v>198</v>
      </c>
      <c r="E18" s="218"/>
      <c r="F18" s="414"/>
      <c r="G18" s="354"/>
    </row>
    <row r="19" spans="1:7" ht="14" x14ac:dyDescent="0.15">
      <c r="A19" s="354"/>
      <c r="B19" s="413"/>
      <c r="C19" s="233" t="s">
        <v>176</v>
      </c>
      <c r="D19" s="232" t="s">
        <v>175</v>
      </c>
      <c r="E19" s="218"/>
      <c r="F19" s="414"/>
      <c r="G19" s="354"/>
    </row>
    <row r="20" spans="1:7" ht="14" x14ac:dyDescent="0.15">
      <c r="A20" s="354"/>
      <c r="B20" s="413"/>
      <c r="C20" s="233" t="s">
        <v>178</v>
      </c>
      <c r="D20" s="232" t="s">
        <v>253</v>
      </c>
      <c r="E20" s="218"/>
      <c r="F20" s="414"/>
      <c r="G20" s="354"/>
    </row>
    <row r="21" spans="1:7" ht="14" x14ac:dyDescent="0.15">
      <c r="A21" s="354"/>
      <c r="B21" s="413"/>
      <c r="C21" s="233" t="s">
        <v>255</v>
      </c>
      <c r="D21" s="232" t="s">
        <v>9</v>
      </c>
      <c r="E21" s="218"/>
      <c r="F21" s="414"/>
      <c r="G21" s="354"/>
    </row>
    <row r="22" spans="1:7" ht="14" x14ac:dyDescent="0.15">
      <c r="A22" s="354"/>
      <c r="B22" s="413"/>
      <c r="C22" s="233" t="s">
        <v>247</v>
      </c>
      <c r="D22" s="232" t="s">
        <v>174</v>
      </c>
      <c r="E22" s="218"/>
      <c r="F22" s="414"/>
      <c r="G22" s="354"/>
    </row>
    <row r="23" spans="1:7" ht="14" x14ac:dyDescent="0.15">
      <c r="A23" s="354"/>
      <c r="B23" s="413"/>
      <c r="C23" s="233" t="s">
        <v>252</v>
      </c>
      <c r="D23" s="232" t="s">
        <v>251</v>
      </c>
      <c r="E23" s="218"/>
      <c r="F23" s="414"/>
      <c r="G23" s="354"/>
    </row>
    <row r="24" spans="1:7" ht="14" x14ac:dyDescent="0.15">
      <c r="A24" s="354"/>
      <c r="B24" s="413"/>
      <c r="C24" s="233" t="s">
        <v>205</v>
      </c>
      <c r="D24" s="232" t="s">
        <v>204</v>
      </c>
      <c r="E24" s="218"/>
      <c r="F24" s="414"/>
      <c r="G24" s="354"/>
    </row>
    <row r="25" spans="1:7" ht="14" x14ac:dyDescent="0.15">
      <c r="A25" s="354"/>
      <c r="B25" s="413"/>
      <c r="C25" s="233" t="s">
        <v>250</v>
      </c>
      <c r="D25" s="232" t="s">
        <v>249</v>
      </c>
      <c r="E25" s="218"/>
      <c r="F25" s="414"/>
      <c r="G25" s="354"/>
    </row>
    <row r="26" spans="1:7" ht="14" x14ac:dyDescent="0.15">
      <c r="A26" s="354"/>
      <c r="B26" s="413"/>
      <c r="C26" s="233" t="s">
        <v>203</v>
      </c>
      <c r="D26" s="232" t="s">
        <v>202</v>
      </c>
      <c r="E26" s="218"/>
      <c r="F26" s="414"/>
      <c r="G26" s="354"/>
    </row>
    <row r="27" spans="1:7" ht="14" x14ac:dyDescent="0.15">
      <c r="A27" s="354"/>
      <c r="B27" s="413"/>
      <c r="C27" s="233" t="s">
        <v>184</v>
      </c>
      <c r="D27" s="232" t="s">
        <v>183</v>
      </c>
      <c r="E27" s="218"/>
      <c r="F27" s="414"/>
      <c r="G27" s="354"/>
    </row>
    <row r="28" spans="1:7" ht="14" x14ac:dyDescent="0.15">
      <c r="A28" s="354"/>
      <c r="B28" s="413"/>
      <c r="C28" s="233" t="s">
        <v>248</v>
      </c>
      <c r="D28" s="232" t="s">
        <v>245</v>
      </c>
      <c r="E28" s="218"/>
      <c r="F28" s="414"/>
      <c r="G28" s="354"/>
    </row>
    <row r="29" spans="1:7" ht="14" x14ac:dyDescent="0.15">
      <c r="A29" s="354"/>
      <c r="B29" s="413"/>
      <c r="C29" s="233" t="s">
        <v>10</v>
      </c>
      <c r="D29" s="232" t="s">
        <v>7</v>
      </c>
      <c r="E29" s="218"/>
      <c r="F29" s="414"/>
      <c r="G29" s="354"/>
    </row>
    <row r="30" spans="1:7" ht="14" x14ac:dyDescent="0.15">
      <c r="A30" s="354"/>
      <c r="B30" s="413"/>
      <c r="C30" s="233" t="s">
        <v>178</v>
      </c>
      <c r="D30" s="232" t="s">
        <v>177</v>
      </c>
      <c r="E30" s="218"/>
      <c r="F30" s="414"/>
      <c r="G30" s="354"/>
    </row>
    <row r="31" spans="1:7" ht="14" x14ac:dyDescent="0.15">
      <c r="A31" s="354"/>
      <c r="B31" s="413"/>
      <c r="C31" s="233" t="s">
        <v>257</v>
      </c>
      <c r="D31" s="232" t="s">
        <v>256</v>
      </c>
      <c r="E31" s="218"/>
      <c r="F31" s="414"/>
      <c r="G31" s="354"/>
    </row>
    <row r="32" spans="1:7" ht="14" x14ac:dyDescent="0.15">
      <c r="A32" s="354"/>
      <c r="B32" s="413"/>
      <c r="C32" s="233" t="s">
        <v>197</v>
      </c>
      <c r="D32" s="232" t="s">
        <v>196</v>
      </c>
      <c r="E32" s="218"/>
      <c r="F32" s="414"/>
      <c r="G32" s="354"/>
    </row>
    <row r="33" spans="1:7" ht="14" x14ac:dyDescent="0.15">
      <c r="A33" s="354"/>
      <c r="B33" s="413"/>
      <c r="C33" s="233" t="s">
        <v>182</v>
      </c>
      <c r="D33" s="232" t="s">
        <v>181</v>
      </c>
      <c r="E33" s="218"/>
      <c r="F33" s="414"/>
      <c r="G33" s="354"/>
    </row>
    <row r="34" spans="1:7" ht="14" x14ac:dyDescent="0.15">
      <c r="A34" s="354"/>
      <c r="B34" s="413"/>
      <c r="C34" s="233" t="s">
        <v>259</v>
      </c>
      <c r="D34" s="232" t="s">
        <v>258</v>
      </c>
      <c r="E34" s="218"/>
      <c r="F34" s="414"/>
      <c r="G34" s="354"/>
    </row>
    <row r="35" spans="1:7" ht="14" x14ac:dyDescent="0.15">
      <c r="A35" s="354"/>
      <c r="B35" s="413"/>
      <c r="C35" s="233" t="s">
        <v>254</v>
      </c>
      <c r="D35" s="232" t="s">
        <v>246</v>
      </c>
      <c r="E35" s="218"/>
      <c r="F35" s="414"/>
      <c r="G35" s="354"/>
    </row>
    <row r="36" spans="1:7" ht="14" x14ac:dyDescent="0.15">
      <c r="A36" s="354"/>
      <c r="B36" s="413"/>
      <c r="C36" s="398"/>
      <c r="D36" s="399"/>
      <c r="E36" s="400"/>
      <c r="F36" s="414"/>
      <c r="G36" s="354"/>
    </row>
    <row r="37" spans="1:7" ht="14" x14ac:dyDescent="0.15">
      <c r="A37" s="354"/>
      <c r="B37" s="413"/>
      <c r="C37" s="401"/>
      <c r="D37" s="402"/>
      <c r="E37" s="403"/>
      <c r="F37" s="414"/>
      <c r="G37" s="354"/>
    </row>
    <row r="38" spans="1:7" ht="14" x14ac:dyDescent="0.15">
      <c r="A38" s="354"/>
      <c r="B38" s="413"/>
      <c r="C38" s="401"/>
      <c r="D38" s="402"/>
      <c r="E38" s="403"/>
      <c r="F38" s="414"/>
      <c r="G38" s="354"/>
    </row>
    <row r="39" spans="1:7" ht="14" x14ac:dyDescent="0.15">
      <c r="A39" s="354"/>
      <c r="B39" s="413"/>
      <c r="C39" s="401"/>
      <c r="D39" s="402"/>
      <c r="E39" s="403"/>
      <c r="F39" s="414"/>
      <c r="G39" s="354"/>
    </row>
    <row r="40" spans="1:7" ht="14" x14ac:dyDescent="0.15">
      <c r="A40" s="354"/>
      <c r="B40" s="413"/>
      <c r="C40" s="401"/>
      <c r="D40" s="402"/>
      <c r="E40" s="403"/>
      <c r="F40" s="414"/>
      <c r="G40" s="354"/>
    </row>
    <row r="41" spans="1:7" ht="14" x14ac:dyDescent="0.15">
      <c r="A41" s="354"/>
      <c r="B41" s="413"/>
      <c r="C41" s="401"/>
      <c r="D41" s="402"/>
      <c r="E41" s="403"/>
      <c r="F41" s="414"/>
      <c r="G41" s="354"/>
    </row>
    <row r="42" spans="1:7" ht="14" x14ac:dyDescent="0.15">
      <c r="A42" s="354"/>
      <c r="B42" s="413"/>
      <c r="C42" s="401"/>
      <c r="D42" s="402"/>
      <c r="E42" s="403"/>
      <c r="F42" s="414"/>
      <c r="G42" s="354"/>
    </row>
    <row r="43" spans="1:7" ht="14" x14ac:dyDescent="0.15">
      <c r="A43" s="354"/>
      <c r="B43" s="413"/>
      <c r="C43" s="401"/>
      <c r="D43" s="402"/>
      <c r="E43" s="403"/>
      <c r="F43" s="414"/>
      <c r="G43" s="354"/>
    </row>
    <row r="44" spans="1:7" ht="14" x14ac:dyDescent="0.15">
      <c r="A44" s="354"/>
      <c r="B44" s="413"/>
      <c r="C44" s="401"/>
      <c r="D44" s="402"/>
      <c r="E44" s="403"/>
      <c r="F44" s="414"/>
      <c r="G44" s="354"/>
    </row>
    <row r="45" spans="1:7" ht="14" x14ac:dyDescent="0.15">
      <c r="A45" s="354"/>
      <c r="B45" s="413"/>
      <c r="C45" s="401"/>
      <c r="D45" s="402"/>
      <c r="E45" s="403"/>
      <c r="F45" s="414"/>
      <c r="G45" s="354"/>
    </row>
    <row r="46" spans="1:7" ht="14" x14ac:dyDescent="0.15">
      <c r="A46" s="354"/>
      <c r="B46" s="413"/>
      <c r="C46" s="401"/>
      <c r="D46" s="402"/>
      <c r="E46" s="403"/>
      <c r="F46" s="414"/>
      <c r="G46" s="354"/>
    </row>
    <row r="47" spans="1:7" ht="14" x14ac:dyDescent="0.15">
      <c r="A47" s="354"/>
      <c r="B47" s="413"/>
      <c r="C47" s="401"/>
      <c r="D47" s="402"/>
      <c r="E47" s="403"/>
      <c r="F47" s="414"/>
      <c r="G47" s="354"/>
    </row>
    <row r="48" spans="1:7" ht="15" thickBot="1" x14ac:dyDescent="0.2">
      <c r="A48" s="354"/>
      <c r="B48" s="413"/>
      <c r="C48" s="404"/>
      <c r="D48" s="405"/>
      <c r="E48" s="406"/>
      <c r="F48" s="414"/>
      <c r="G48" s="354"/>
    </row>
    <row r="49" spans="1:7" ht="15" hidden="1" thickBot="1" x14ac:dyDescent="0.2">
      <c r="A49" s="354"/>
      <c r="B49" s="413"/>
      <c r="C49" s="235"/>
      <c r="D49" s="234"/>
      <c r="E49" s="226"/>
      <c r="F49" s="414"/>
      <c r="G49" s="354"/>
    </row>
    <row r="50" spans="1:7" ht="14" thickBot="1" x14ac:dyDescent="0.2">
      <c r="A50" s="354"/>
      <c r="B50" s="415"/>
      <c r="C50" s="416"/>
      <c r="D50" s="416"/>
      <c r="E50" s="416"/>
      <c r="F50" s="417"/>
      <c r="G50" s="354"/>
    </row>
    <row r="51" spans="1:7" x14ac:dyDescent="0.15">
      <c r="A51" s="354"/>
      <c r="B51" s="354"/>
      <c r="C51" s="354"/>
      <c r="D51" s="354"/>
      <c r="E51" s="354"/>
      <c r="F51" s="354"/>
      <c r="G51" s="354"/>
    </row>
    <row r="52" spans="1:7" x14ac:dyDescent="0.15">
      <c r="A52" s="354"/>
      <c r="B52" s="354"/>
      <c r="C52" s="354"/>
      <c r="D52" s="354"/>
      <c r="E52" s="354"/>
      <c r="F52" s="354"/>
      <c r="G52" s="354"/>
    </row>
    <row r="53" spans="1:7" x14ac:dyDescent="0.15">
      <c r="A53" s="354"/>
      <c r="B53" s="354"/>
      <c r="C53" s="354"/>
      <c r="D53" s="354"/>
      <c r="E53" s="354"/>
      <c r="F53" s="354"/>
      <c r="G53" s="354"/>
    </row>
    <row r="54" spans="1:7" x14ac:dyDescent="0.15">
      <c r="A54" s="354"/>
      <c r="B54" s="354"/>
      <c r="C54" s="380" t="str">
        <f ca="1">"© "&amp;YEAR(TODAY())&amp;" Piranha Ltd. All rights reserved."</f>
        <v>© 2026 Piranha Ltd. All rights reserved.</v>
      </c>
      <c r="D54" s="354"/>
      <c r="E54" s="354"/>
      <c r="F54" s="354"/>
      <c r="G54" s="354"/>
    </row>
    <row r="55" spans="1:7" x14ac:dyDescent="0.15">
      <c r="A55" s="354"/>
      <c r="B55" s="354"/>
      <c r="C55" s="354"/>
      <c r="D55" s="354"/>
      <c r="E55" s="354"/>
      <c r="F55" s="354"/>
      <c r="G55" s="354"/>
    </row>
    <row r="56" spans="1:7" x14ac:dyDescent="0.15">
      <c r="A56" s="354"/>
      <c r="B56" s="354"/>
      <c r="C56" s="354"/>
      <c r="D56" s="354"/>
      <c r="E56" s="354"/>
      <c r="F56" s="354"/>
      <c r="G56" s="354"/>
    </row>
    <row r="57" spans="1:7" x14ac:dyDescent="0.15">
      <c r="A57" s="354"/>
      <c r="B57" s="354"/>
      <c r="C57" s="358"/>
      <c r="D57" s="354"/>
      <c r="E57" s="354"/>
      <c r="F57" s="354"/>
      <c r="G57" s="354"/>
    </row>
  </sheetData>
  <mergeCells count="1">
    <mergeCell ref="C2:E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8E20-58EB-5148-80EB-A6896F2994FF}">
  <sheetPr>
    <tabColor rgb="FF485D73"/>
  </sheetPr>
  <dimension ref="B1:F39"/>
  <sheetViews>
    <sheetView zoomScale="130" zoomScaleNormal="130" workbookViewId="0">
      <selection activeCell="F19" sqref="F19"/>
    </sheetView>
  </sheetViews>
  <sheetFormatPr baseColWidth="10" defaultRowHeight="14" x14ac:dyDescent="0.15"/>
  <cols>
    <col min="1" max="1" width="10.83203125" style="427" customWidth="1"/>
    <col min="2" max="6" width="15.83203125" style="427" customWidth="1"/>
    <col min="7" max="7" width="10.83203125" style="427" customWidth="1"/>
    <col min="8" max="16384" width="10.83203125" style="427"/>
  </cols>
  <sheetData>
    <row r="1" spans="2:6" ht="15" customHeight="1" x14ac:dyDescent="0.15"/>
    <row r="2" spans="2:6" ht="30" customHeight="1" x14ac:dyDescent="0.15">
      <c r="B2" s="557" t="s">
        <v>303</v>
      </c>
      <c r="C2" s="557"/>
      <c r="D2" s="557"/>
      <c r="E2" s="557"/>
      <c r="F2" s="557"/>
    </row>
    <row r="3" spans="2:6" ht="15" customHeight="1" x14ac:dyDescent="0.15"/>
    <row r="4" spans="2:6" ht="15" customHeight="1" x14ac:dyDescent="0.15">
      <c r="B4" s="433" t="s">
        <v>301</v>
      </c>
      <c r="C4" s="438">
        <v>46092</v>
      </c>
    </row>
    <row r="5" spans="2:6" ht="15" customHeight="1" x14ac:dyDescent="0.15"/>
    <row r="6" spans="2:6" ht="15" customHeight="1" x14ac:dyDescent="0.15">
      <c r="B6" s="428" t="s">
        <v>57</v>
      </c>
    </row>
    <row r="7" spans="2:6" ht="15" customHeight="1" x14ac:dyDescent="0.15">
      <c r="B7" s="433" t="s">
        <v>125</v>
      </c>
      <c r="C7" s="432" t="s">
        <v>260</v>
      </c>
    </row>
    <row r="8" spans="2:6" ht="15" customHeight="1" x14ac:dyDescent="0.15">
      <c r="B8" s="433"/>
      <c r="C8" s="432"/>
    </row>
    <row r="9" spans="2:6" ht="15" customHeight="1" x14ac:dyDescent="0.15">
      <c r="B9" s="428" t="s">
        <v>305</v>
      </c>
      <c r="E9" s="428" t="s">
        <v>306</v>
      </c>
    </row>
    <row r="10" spans="2:6" ht="15" customHeight="1" x14ac:dyDescent="0.15">
      <c r="B10" s="429" t="s">
        <v>267</v>
      </c>
      <c r="C10" s="429" t="s">
        <v>297</v>
      </c>
      <c r="E10" s="429" t="s">
        <v>267</v>
      </c>
      <c r="F10" s="429" t="s">
        <v>297</v>
      </c>
    </row>
    <row r="11" spans="2:6" ht="15" customHeight="1" x14ac:dyDescent="0.15">
      <c r="B11" s="436">
        <v>46022</v>
      </c>
      <c r="C11" s="435">
        <v>4.18</v>
      </c>
      <c r="E11" s="436">
        <v>46022</v>
      </c>
      <c r="F11" s="435">
        <v>2.37</v>
      </c>
    </row>
    <row r="12" spans="2:6" ht="15" customHeight="1" x14ac:dyDescent="0.15">
      <c r="B12" s="437">
        <f>DATE(YEAR(B11)-1,MONTH(B11),DAY(B11))</f>
        <v>45657</v>
      </c>
      <c r="C12" s="435">
        <v>4.58</v>
      </c>
      <c r="E12" s="437">
        <f>DATE(YEAR(E11)-1,MONTH(E11),DAY(E11))</f>
        <v>45657</v>
      </c>
      <c r="F12" s="435">
        <v>2.1800000000000002</v>
      </c>
    </row>
    <row r="13" spans="2:6" ht="15" customHeight="1" x14ac:dyDescent="0.15">
      <c r="B13" s="437">
        <f t="shared" ref="B13:B15" si="0">DATE(YEAR(B12)-1,MONTH(B12),DAY(B12))</f>
        <v>45291</v>
      </c>
      <c r="C13" s="435">
        <v>3.88</v>
      </c>
      <c r="E13" s="437">
        <f t="shared" ref="E13:E15" si="1">DATE(YEAR(E12)-1,MONTH(E12),DAY(E12))</f>
        <v>45291</v>
      </c>
      <c r="F13" s="435">
        <v>2.73</v>
      </c>
    </row>
    <row r="14" spans="2:6" ht="15" customHeight="1" x14ac:dyDescent="0.15">
      <c r="B14" s="437">
        <f t="shared" si="0"/>
        <v>44926</v>
      </c>
      <c r="C14" s="435">
        <v>3.88</v>
      </c>
      <c r="E14" s="437">
        <f t="shared" si="1"/>
        <v>44926</v>
      </c>
      <c r="F14" s="435">
        <v>3.07</v>
      </c>
    </row>
    <row r="15" spans="2:6" ht="15" customHeight="1" x14ac:dyDescent="0.15">
      <c r="B15" s="437">
        <f t="shared" si="0"/>
        <v>44561</v>
      </c>
      <c r="C15" s="435">
        <v>1.52</v>
      </c>
      <c r="E15" s="437">
        <f t="shared" si="1"/>
        <v>44561</v>
      </c>
      <c r="F15" s="435">
        <v>3.29</v>
      </c>
    </row>
    <row r="16" spans="2:6" ht="15" customHeight="1" x14ac:dyDescent="0.15"/>
    <row r="17" spans="2:6" ht="15" customHeight="1" x14ac:dyDescent="0.15">
      <c r="B17" s="428" t="s">
        <v>304</v>
      </c>
      <c r="C17" s="439">
        <f>AVERAGE(C11:C15)/100</f>
        <v>3.6079999999999994E-2</v>
      </c>
      <c r="E17" s="428" t="s">
        <v>307</v>
      </c>
      <c r="F17" s="439">
        <f>AVERAGE(F11:F15)/100</f>
        <v>2.7280000000000002E-2</v>
      </c>
    </row>
    <row r="18" spans="2:6" ht="15" customHeight="1" x14ac:dyDescent="0.15"/>
    <row r="19" spans="2:6" ht="15" customHeight="1" x14ac:dyDescent="0.15"/>
    <row r="20" spans="2:6" ht="15" customHeight="1" x14ac:dyDescent="0.15">
      <c r="B20" s="428" t="s">
        <v>300</v>
      </c>
    </row>
    <row r="21" spans="2:6" ht="15" customHeight="1" x14ac:dyDescent="0.15">
      <c r="B21" s="433" t="s">
        <v>125</v>
      </c>
      <c r="C21" s="432" t="s">
        <v>302</v>
      </c>
    </row>
    <row r="22" spans="2:6" ht="15" customHeight="1" x14ac:dyDescent="0.15">
      <c r="B22" s="433"/>
      <c r="C22" s="432"/>
    </row>
    <row r="23" spans="2:6" ht="15" customHeight="1" x14ac:dyDescent="0.15">
      <c r="B23" s="428" t="s">
        <v>305</v>
      </c>
      <c r="E23" s="428" t="s">
        <v>306</v>
      </c>
    </row>
    <row r="24" spans="2:6" ht="15" customHeight="1" x14ac:dyDescent="0.15">
      <c r="B24" s="429" t="s">
        <v>267</v>
      </c>
      <c r="C24" s="429" t="s">
        <v>297</v>
      </c>
      <c r="E24" s="429" t="s">
        <v>267</v>
      </c>
      <c r="F24" s="429" t="s">
        <v>297</v>
      </c>
    </row>
    <row r="25" spans="2:6" ht="15" customHeight="1" x14ac:dyDescent="0.15">
      <c r="B25" s="436">
        <v>46022</v>
      </c>
      <c r="C25" s="435">
        <v>3.1</v>
      </c>
      <c r="E25" s="436">
        <v>46022</v>
      </c>
      <c r="F25" s="435">
        <v>5.35</v>
      </c>
    </row>
    <row r="26" spans="2:6" ht="15" customHeight="1" x14ac:dyDescent="0.15">
      <c r="B26" s="437">
        <f>DATE(YEAR(B25)-1,MONTH(B25),DAY(B25))</f>
        <v>45657</v>
      </c>
      <c r="C26" s="435">
        <v>3.81</v>
      </c>
      <c r="E26" s="437">
        <f>DATE(YEAR(E25)-1,MONTH(E25),DAY(E25))</f>
        <v>45657</v>
      </c>
      <c r="F26" s="435">
        <v>6.14</v>
      </c>
    </row>
    <row r="27" spans="2:6" ht="15" customHeight="1" x14ac:dyDescent="0.15">
      <c r="B27" s="437">
        <f t="shared" ref="B27:B29" si="2">DATE(YEAR(B26)-1,MONTH(B26),DAY(B26))</f>
        <v>45291</v>
      </c>
      <c r="C27" s="435">
        <v>3.27</v>
      </c>
      <c r="E27" s="437">
        <f t="shared" ref="E27:E29" si="3">DATE(YEAR(E26)-1,MONTH(E26),DAY(E26))</f>
        <v>45291</v>
      </c>
      <c r="F27" s="435">
        <v>8.4700000000000006</v>
      </c>
    </row>
    <row r="28" spans="2:6" ht="15" customHeight="1" x14ac:dyDescent="0.15">
      <c r="B28" s="437">
        <f t="shared" si="2"/>
        <v>44926</v>
      </c>
      <c r="C28" s="435">
        <v>3.71</v>
      </c>
      <c r="E28" s="437">
        <f t="shared" si="3"/>
        <v>44926</v>
      </c>
      <c r="F28" s="435">
        <v>6.01</v>
      </c>
    </row>
    <row r="29" spans="2:6" ht="15" customHeight="1" x14ac:dyDescent="0.15">
      <c r="B29" s="437">
        <f t="shared" si="2"/>
        <v>44561</v>
      </c>
      <c r="C29" s="435">
        <v>1.45</v>
      </c>
      <c r="E29" s="437">
        <f t="shared" si="3"/>
        <v>44561</v>
      </c>
      <c r="F29" s="435">
        <v>8.34</v>
      </c>
    </row>
    <row r="30" spans="2:6" ht="15" customHeight="1" x14ac:dyDescent="0.15"/>
    <row r="31" spans="2:6" ht="15" customHeight="1" x14ac:dyDescent="0.15">
      <c r="B31" s="428" t="s">
        <v>304</v>
      </c>
      <c r="C31" s="439">
        <f>AVERAGE(C25:C29)/100</f>
        <v>3.0679999999999999E-2</v>
      </c>
      <c r="E31" s="428" t="s">
        <v>307</v>
      </c>
      <c r="F31" s="439">
        <f>AVERAGE(F25:F29)/100</f>
        <v>6.862E-2</v>
      </c>
    </row>
    <row r="32" spans="2:6" ht="15" customHeight="1" x14ac:dyDescent="0.15"/>
    <row r="33" spans="2:6" ht="15" customHeight="1" x14ac:dyDescent="0.15">
      <c r="B33" s="354"/>
      <c r="C33" s="354"/>
      <c r="D33" s="354"/>
      <c r="E33" s="354"/>
      <c r="F33" s="354"/>
    </row>
    <row r="34" spans="2:6" x14ac:dyDescent="0.15">
      <c r="B34" s="354"/>
      <c r="C34" s="354"/>
      <c r="D34" s="354"/>
      <c r="E34" s="354"/>
      <c r="F34" s="354"/>
    </row>
    <row r="35" spans="2:6" x14ac:dyDescent="0.15">
      <c r="B35" s="354"/>
      <c r="C35" s="354"/>
      <c r="D35" s="354"/>
      <c r="E35" s="354"/>
      <c r="F35" s="354"/>
    </row>
    <row r="36" spans="2:6" x14ac:dyDescent="0.15">
      <c r="B36" s="354"/>
      <c r="C36" s="354"/>
      <c r="D36" s="434" t="str">
        <f ca="1">"© "&amp;YEAR(TODAY())&amp;" Piranha Ltd. All rights reserved."</f>
        <v>© 2026 Piranha Ltd. All rights reserved.</v>
      </c>
      <c r="E36" s="354"/>
      <c r="F36" s="354"/>
    </row>
    <row r="37" spans="2:6" x14ac:dyDescent="0.15">
      <c r="B37" s="354"/>
      <c r="C37" s="354"/>
      <c r="D37" s="354"/>
      <c r="E37" s="354"/>
      <c r="F37" s="354"/>
    </row>
    <row r="38" spans="2:6" x14ac:dyDescent="0.15">
      <c r="B38" s="354"/>
      <c r="C38" s="354"/>
      <c r="D38" s="354"/>
      <c r="E38" s="354"/>
      <c r="F38" s="354"/>
    </row>
    <row r="39" spans="2:6" x14ac:dyDescent="0.15">
      <c r="B39" s="354"/>
      <c r="C39" s="354"/>
      <c r="D39" s="358"/>
      <c r="E39" s="354"/>
      <c r="F39" s="354"/>
    </row>
  </sheetData>
  <mergeCells count="1">
    <mergeCell ref="B2:F2"/>
  </mergeCells>
  <hyperlinks>
    <hyperlink ref="C7" r:id="rId1" xr:uid="{2F2BD1BB-82E9-5544-8E80-80F61BB3C124}"/>
    <hyperlink ref="C21" r:id="rId2" xr:uid="{A7FE7D69-C544-7846-AEBA-C3B542582DE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VMI IV Calculator (20 years)</vt:lpstr>
      <vt:lpstr>VMI IV Calculator (Mean PB)</vt:lpstr>
      <vt:lpstr>VMI IV Calculator (PSG)</vt:lpstr>
      <vt:lpstr>VMI Portfolio Dashboard</vt:lpstr>
      <vt:lpstr>VMI Portfolio Manager</vt:lpstr>
      <vt:lpstr>VMI Closed Position</vt:lpstr>
      <vt:lpstr>VMI Portfolio Parameter</vt:lpstr>
      <vt:lpstr>Currency Data</vt:lpstr>
      <vt:lpstr>Discount Rate Data</vt:lpstr>
      <vt:lpstr>'VMI IV Calculator (20 years)'!Print_Area</vt:lpstr>
      <vt:lpstr>'VMI IV Calculator (Mean PB)'!Print_Area</vt:lpstr>
      <vt:lpstr>'VMI IV Calculator (PSG)'!Print_Area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Richard Ng</cp:lastModifiedBy>
  <dcterms:created xsi:type="dcterms:W3CDTF">2007-04-04T13:06:54Z</dcterms:created>
  <dcterms:modified xsi:type="dcterms:W3CDTF">2026-03-11T07:28:23Z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{8F391E69-4256-4AB9-84C7-13FBDB2EFC2F}</vt:lpwstr>
  </property>
</Properties>
</file>